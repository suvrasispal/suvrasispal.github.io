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Employees" sheetId="2" r:id="rId2"/>
    <sheet name="Rota" sheetId="3" r:id="rId3"/>
    <sheet name="Timesheet" sheetId="4" r:id="rId4"/>
    <sheet name="Weekly" sheetId="5" r:id="rId5"/>
    <sheet name="Reports" sheetId="6" r:id="rId6"/>
    <sheet name="Settings" sheetId="7" r:id="rId7"/>
  </sheets>
  <definedNames>
    <definedName name="_xlnm._FilterDatabase" localSheetId="1">Employees!$A$1:$L$5</definedName>
    <definedName name="_xlnm._FilterDatabase" localSheetId="2">Rota!$A$1:$R$50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4.83203125" customWidth="1"/>
    <col min="2" max="2" width="16.83203125" customWidth="1"/>
  </cols>
  <sheetData>
    <row r="1">
      <c r="A1" t="str">
        <v>THE PINT BAR</v>
      </c>
    </row>
    <row r="2">
      <c r="A2" t="str">
        <v>Rota &amp; Timesheet — management dashboard</v>
      </c>
    </row>
    <row r="4">
      <c r="A4" t="str">
        <v>Employees on the books</v>
      </c>
      <c r="B4">
        <f>COUNTA(Employees!$A$2:$A$1000)</f>
      </c>
    </row>
    <row r="5">
      <c r="A5" t="str">
        <v>Full Time</v>
      </c>
      <c r="B5">
        <f>COUNTIF(Employees!$F:$F,"Full Time")</f>
      </c>
    </row>
    <row r="6">
      <c r="A6" t="str">
        <v>Part Time</v>
      </c>
      <c r="B6">
        <f>COUNTIF(Employees!$F:$F,"Part Time")</f>
      </c>
    </row>
    <row r="7">
      <c r="A7" t="str">
        <v>Zero Hour Contract</v>
      </c>
      <c r="B7">
        <f>COUNTIF(Employees!$F:$F,"Zero Hour Contract")</f>
      </c>
    </row>
    <row r="9">
      <c r="A9" t="str">
        <v>Total shifts</v>
      </c>
      <c r="B9">
        <f>COUNTA(Rota!$A$2:$A$50)</f>
      </c>
    </row>
    <row r="10">
      <c r="A10" t="str">
        <v>Total scheduled hours</v>
      </c>
      <c r="B10">
        <f>ROUND(SUM(Rota!$I$2:$I$50),2)</f>
      </c>
    </row>
    <row r="11">
      <c r="A11" t="str">
        <v>Total actual hours</v>
      </c>
      <c r="B11">
        <f>ROUND(SUM(Rota!$M$2:$M$50),2)</f>
      </c>
    </row>
    <row r="12">
      <c r="A12" t="str">
        <v>Total paid hours</v>
      </c>
      <c r="B12">
        <f>ROUND(SUM(Rota!$Q$2:$Q$50),2)</f>
      </c>
    </row>
    <row r="13">
      <c r="A13" t="str">
        <v>Total overtime</v>
      </c>
      <c r="B13">
        <f>ROUND(SUM(Weekly!$E:$E),2)</f>
      </c>
    </row>
    <row r="14">
      <c r="A14" t="str">
        <v>Average hours per employee</v>
      </c>
      <c r="B14">
        <f>IFERROR(ROUND(B12/B4,2),0)</f>
      </c>
    </row>
    <row r="16">
      <c r="A16" t="str">
        <v>Standard weekly hours</v>
      </c>
      <c r="B16">
        <f>Settings!$B$2</f>
      </c>
    </row>
    <row r="18">
      <c r="A18" t="str">
        <v>Rota, Timesheet and Weekly recalculate live. Edit the Employees and Rota sheets, then import this file back into Timesheet.dc.html.</v>
      </c>
    </row>
  </sheetData>
  <mergeCells count="2">
    <mergeCell ref="A1:B1"/>
    <mergeCell ref="A2:B2"/>
  </mergeCells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18.83203125" customWidth="1"/>
    <col min="6" max="6" width="18.83203125" customWidth="1"/>
    <col min="7" max="7" width="12.83203125" customWidth="1"/>
    <col min="8" max="8" width="12.83203125" customWidth="1"/>
    <col min="9" max="9" width="34.83203125" customWidth="1"/>
    <col min="10" max="10" width="15.83203125" customWidth="1"/>
    <col min="11" max="11" width="13.83203125" customWidth="1"/>
    <col min="12" max="12" width="11.83203125" customWidth="1"/>
  </cols>
  <sheetData>
    <row r="1">
      <c r="A1" t="str">
        <v>Employee ID</v>
      </c>
      <c r="B1" t="str">
        <v>First Name</v>
      </c>
      <c r="C1" t="str">
        <v>Last Name</v>
      </c>
      <c r="D1" t="str">
        <v>Full Name</v>
      </c>
      <c r="E1" t="str">
        <v>Job Role</v>
      </c>
      <c r="F1" t="str">
        <v>Contract Type</v>
      </c>
      <c r="G1" t="str">
        <v>Status</v>
      </c>
      <c r="H1" t="str">
        <v>Start Date</v>
      </c>
      <c r="I1" t="str">
        <v>Notes</v>
      </c>
      <c r="J1" t="str">
        <v>Scheduled Hours</v>
      </c>
      <c r="K1" t="str">
        <v>Actual Hours</v>
      </c>
      <c r="L1" t="str">
        <v>Overtime</v>
      </c>
    </row>
    <row r="2">
      <c r="A2" t="str">
        <v>PB-001</v>
      </c>
      <c r="B2" t="str">
        <v>Tulsi Jagtap</v>
      </c>
      <c r="C2" t="str">
        <v>Surendra</v>
      </c>
      <c r="D2">
        <f>B2&amp;" "&amp;C2</f>
      </c>
      <c r="E2" t="str">
        <v>Bartender</v>
      </c>
      <c r="F2" t="str">
        <v>Part Time</v>
      </c>
      <c r="G2" t="str">
        <v>Active</v>
      </c>
      <c r="H2" t="str">
        <v>2026-09-07</v>
      </c>
      <c r="I2" t="str">
        <v>Keyholder · sample record</v>
      </c>
      <c r="J2">
        <f>ROUND(SUMIF(Rota!$B:$B,$A2,Rota!$I:$I),2)</f>
      </c>
      <c r="K2">
        <f>ROUND(SUMIF(Rota!$B:$B,$A2,Rota!$M:$M),2)</f>
      </c>
      <c r="L2">
        <f>ROUND(SUMIF(Weekly!$A:$A,$A2,Weekly!$E:$E),2)</f>
      </c>
    </row>
    <row r="3">
      <c r="A3" t="str">
        <v>PB-002</v>
      </c>
      <c r="B3" t="str">
        <v>Liam Phillip</v>
      </c>
      <c r="C3" t="str">
        <v>Flude</v>
      </c>
      <c r="D3">
        <f>B3&amp;" "&amp;C3</f>
      </c>
      <c r="E3" t="str">
        <v>Bartender</v>
      </c>
      <c r="F3" t="str">
        <v>Part Time</v>
      </c>
      <c r="G3" t="str">
        <v>Active</v>
      </c>
      <c r="H3" t="str">
        <v>2026-09-07</v>
      </c>
      <c r="I3" t="str">
        <v>Weekend late shifts · sample record</v>
      </c>
      <c r="J3">
        <f>ROUND(SUMIF(Rota!$B:$B,$A3,Rota!$I:$I),2)</f>
      </c>
      <c r="K3">
        <f>ROUND(SUMIF(Rota!$B:$B,$A3,Rota!$M:$M),2)</f>
      </c>
      <c r="L3">
        <f>ROUND(SUMIF(Weekly!$A:$A,$A3,Weekly!$E:$E),2)</f>
      </c>
    </row>
    <row r="4">
      <c r="A4" t="str">
        <v>PB-003</v>
      </c>
      <c r="B4" t="str">
        <v>Shiva Kumar</v>
      </c>
      <c r="C4" t="str">
        <v>Pulapati</v>
      </c>
      <c r="D4">
        <f>B4&amp;" "&amp;C4</f>
      </c>
      <c r="E4" t="str">
        <v>Bartender</v>
      </c>
      <c r="F4" t="str">
        <v>Part Time</v>
      </c>
      <c r="G4" t="str">
        <v>Active</v>
      </c>
      <c r="H4" t="str">
        <v>2026-09-07</v>
      </c>
      <c r="I4" t="str">
        <v>Kitchen lead · sample record</v>
      </c>
      <c r="J4">
        <f>ROUND(SUMIF(Rota!$B:$B,$A4,Rota!$I:$I),2)</f>
      </c>
      <c r="K4">
        <f>ROUND(SUMIF(Rota!$B:$B,$A4,Rota!$M:$M),2)</f>
      </c>
      <c r="L4">
        <f>ROUND(SUMIF(Weekly!$A:$A,$A4,Weekly!$E:$E),2)</f>
      </c>
    </row>
    <row r="5">
      <c r="A5" t="str">
        <v>PB-004</v>
      </c>
      <c r="B5" t="str">
        <v>Callum john</v>
      </c>
      <c r="C5" t="str">
        <v>Kemp</v>
      </c>
      <c r="D5">
        <f>B5&amp;" "&amp;C5</f>
      </c>
      <c r="E5" t="str">
        <v>Bartender</v>
      </c>
      <c r="F5" t="str">
        <v>Part Time</v>
      </c>
      <c r="G5" t="str">
        <v>Active</v>
      </c>
      <c r="H5" t="str">
        <v>2025-08-01</v>
      </c>
      <c r="I5" t="str">
        <v>Student hours · sample record</v>
      </c>
      <c r="J5">
        <f>ROUND(SUMIF(Rota!$B:$B,$A5,Rota!$I:$I),2)</f>
      </c>
      <c r="K5">
        <f>ROUND(SUMIF(Rota!$B:$B,$A5,Rota!$M:$M),2)</f>
      </c>
      <c r="L5">
        <f>ROUND(SUMIF(Weekly!$A:$A,$A5,Weekly!$E:$E),2)</f>
      </c>
    </row>
  </sheetData>
  <autoFilter ref="A1:L5"/>
  <ignoredErrors>
    <ignoredError numberStoredAsText="1" sqref="A1:L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12.83203125" customWidth="1"/>
    <col min="5" max="5" width="7.83203125" customWidth="1"/>
    <col min="6" max="6" width="11.83203125" customWidth="1"/>
    <col min="7" max="7" width="11.83203125" customWidth="1"/>
    <col min="8" max="8" width="12.83203125" customWidth="1"/>
    <col min="9" max="9" width="15.83203125" customWidth="1"/>
    <col min="10" max="10" width="12.83203125" customWidth="1"/>
    <col min="11" max="11" width="12.83203125" customWidth="1"/>
    <col min="12" max="12" width="16.83203125" customWidth="1"/>
    <col min="13" max="13" width="13.83203125" customWidth="1"/>
    <col min="14" max="14" width="18.83203125" customWidth="1"/>
    <col min="15" max="15" width="16.83203125" customWidth="1"/>
    <col min="16" max="16" width="13.83203125" customWidth="1"/>
    <col min="17" max="17" width="11.83203125" customWidth="1"/>
    <col min="18" max="18" width="24.83203125" customWidth="1"/>
  </cols>
  <sheetData>
    <row r="1">
      <c r="A1" t="str">
        <v>Shift ID</v>
      </c>
      <c r="B1" t="str">
        <v>Employee ID</v>
      </c>
      <c r="C1" t="str">
        <v>Employee</v>
      </c>
      <c r="D1" t="str">
        <v>Date</v>
      </c>
      <c r="E1" t="str">
        <v>Day</v>
      </c>
      <c r="F1" t="str">
        <v>Shift Start</v>
      </c>
      <c r="G1" t="str">
        <v>Shift End</v>
      </c>
      <c r="H1" t="str">
        <v>Break (min)</v>
      </c>
      <c r="I1" t="str">
        <v>Scheduled Hours</v>
      </c>
      <c r="J1" t="str">
        <v>Actual Start</v>
      </c>
      <c r="K1" t="str">
        <v>Actual End</v>
      </c>
      <c r="L1" t="str">
        <v>Actual Break (min)</v>
      </c>
      <c r="M1" t="str">
        <v>Actual Hours</v>
      </c>
      <c r="N1" t="str">
        <v>Contract Type</v>
      </c>
      <c r="O1" t="str">
        <v>Job Role</v>
      </c>
      <c r="P1" t="str">
        <v>Week Starting</v>
      </c>
      <c r="Q1" t="str">
        <v>Paid Hours</v>
      </c>
      <c r="R1" t="str">
        <v>Notes</v>
      </c>
    </row>
    <row r="2">
      <c r="A2" t="str">
        <v>S0001</v>
      </c>
      <c r="B2" t="str">
        <v>PB-001</v>
      </c>
      <c r="C2" t="str">
        <v>Tulsi Jagtap Surendra</v>
      </c>
      <c r="D2" t="str">
        <v>2026-08-31</v>
      </c>
      <c r="E2" t="str">
        <v>Mon</v>
      </c>
      <c r="F2" t="str">
        <v>10:00</v>
      </c>
      <c r="G2" t="str">
        <v>18:00</v>
      </c>
      <c r="H2">
        <v>45</v>
      </c>
      <c r="I2">
        <f>IF(OR($F2="",$G2=""),"",ROUND(MOD(TIMEVALUE($G2)-TIMEVALUE($F2),1)*24-$H2/60,2))</f>
      </c>
      <c r="J2" t="str">
        <v>10:00</v>
      </c>
      <c r="K2" t="str">
        <v>18:00</v>
      </c>
      <c r="L2">
        <v>45</v>
      </c>
      <c r="M2">
        <f>IF(OR($J2="",$K2=""),"",ROUND(MOD(TIMEVALUE($K2)-TIMEVALUE($J2),1)*24-IF($L2="",0,$L2)/60,2))</f>
      </c>
      <c r="N2">
        <f>IFERROR(VLOOKUP($B2,Employees!$A:$F,6,FALSE),"")</f>
      </c>
      <c r="O2">
        <f>IFERROR(VLOOKUP($B2,Employees!$A:$F,5,FALSE),"")</f>
      </c>
      <c r="P2" t="str">
        <v>2026-08-31</v>
      </c>
      <c r="Q2">
        <f>IF($M2="",$I2,$M2)</f>
      </c>
      <c r="R2" t="str">
        <v/>
      </c>
    </row>
    <row r="3">
      <c r="A3" t="str">
        <v>S0002</v>
      </c>
      <c r="B3" t="str">
        <v>PB-001</v>
      </c>
      <c r="C3" t="str">
        <v>Tulsi Jagtap Surendra</v>
      </c>
      <c r="D3" t="str">
        <v>2026-09-01</v>
      </c>
      <c r="E3" t="str">
        <v>Tue</v>
      </c>
      <c r="F3" t="str">
        <v>10:00</v>
      </c>
      <c r="G3" t="str">
        <v>18:00</v>
      </c>
      <c r="H3">
        <v>45</v>
      </c>
      <c r="I3">
        <f>IF(OR($F3="",$G3=""),"",ROUND(MOD(TIMEVALUE($G3)-TIMEVALUE($F3),1)*24-$H3/60,2))</f>
      </c>
      <c r="J3" t="str">
        <v>10:00</v>
      </c>
      <c r="K3" t="str">
        <v>18:00</v>
      </c>
      <c r="L3">
        <v>45</v>
      </c>
      <c r="M3">
        <f>IF(OR($J3="",$K3=""),"",ROUND(MOD(TIMEVALUE($K3)-TIMEVALUE($J3),1)*24-IF($L3="",0,$L3)/60,2))</f>
      </c>
      <c r="N3">
        <f>IFERROR(VLOOKUP($B3,Employees!$A:$F,6,FALSE),"")</f>
      </c>
      <c r="O3">
        <f>IFERROR(VLOOKUP($B3,Employees!$A:$F,5,FALSE),"")</f>
      </c>
      <c r="P3" t="str">
        <v>2026-08-31</v>
      </c>
      <c r="Q3">
        <f>IF($M3="",$I3,$M3)</f>
      </c>
      <c r="R3" t="str">
        <v/>
      </c>
    </row>
    <row r="4">
      <c r="A4" t="str">
        <v>S0003</v>
      </c>
      <c r="B4" t="str">
        <v>PB-003</v>
      </c>
      <c r="C4" t="str">
        <v>Shiva Kumar Pulapati</v>
      </c>
      <c r="D4" t="str">
        <v>2026-09-01</v>
      </c>
      <c r="E4" t="str">
        <v>Tue</v>
      </c>
      <c r="F4" t="str">
        <v>12:00</v>
      </c>
      <c r="G4" t="str">
        <v>20:30</v>
      </c>
      <c r="H4">
        <v>45</v>
      </c>
      <c r="I4">
        <f>IF(OR($F4="",$G4=""),"",ROUND(MOD(TIMEVALUE($G4)-TIMEVALUE($F4),1)*24-$H4/60,2))</f>
      </c>
      <c r="J4" t="str">
        <v>12:00</v>
      </c>
      <c r="K4" t="str">
        <v>20:30</v>
      </c>
      <c r="L4">
        <v>45</v>
      </c>
      <c r="M4">
        <f>IF(OR($J4="",$K4=""),"",ROUND(MOD(TIMEVALUE($K4)-TIMEVALUE($J4),1)*24-IF($L4="",0,$L4)/60,2))</f>
      </c>
      <c r="N4">
        <f>IFERROR(VLOOKUP($B4,Employees!$A:$F,6,FALSE),"")</f>
      </c>
      <c r="O4">
        <f>IFERROR(VLOOKUP($B4,Employees!$A:$F,5,FALSE),"")</f>
      </c>
      <c r="P4" t="str">
        <v>2026-08-31</v>
      </c>
      <c r="Q4">
        <f>IF($M4="",$I4,$M4)</f>
      </c>
      <c r="R4" t="str">
        <v/>
      </c>
    </row>
    <row r="5">
      <c r="A5" t="str">
        <v>S0004</v>
      </c>
      <c r="B5" t="str">
        <v>PB-001</v>
      </c>
      <c r="C5" t="str">
        <v>Tulsi Jagtap Surendra</v>
      </c>
      <c r="D5" t="str">
        <v>2026-09-02</v>
      </c>
      <c r="E5" t="str">
        <v>Wed</v>
      </c>
      <c r="F5" t="str">
        <v>10:00</v>
      </c>
      <c r="G5" t="str">
        <v>18:00</v>
      </c>
      <c r="H5">
        <v>45</v>
      </c>
      <c r="I5">
        <f>IF(OR($F5="",$G5=""),"",ROUND(MOD(TIMEVALUE($G5)-TIMEVALUE($F5),1)*24-$H5/60,2))</f>
      </c>
      <c r="J5" t="str">
        <v>10:00</v>
      </c>
      <c r="K5" t="str">
        <v>18:00</v>
      </c>
      <c r="L5">
        <v>45</v>
      </c>
      <c r="M5">
        <f>IF(OR($J5="",$K5=""),"",ROUND(MOD(TIMEVALUE($K5)-TIMEVALUE($J5),1)*24-IF($L5="",0,$L5)/60,2))</f>
      </c>
      <c r="N5">
        <f>IFERROR(VLOOKUP($B5,Employees!$A:$F,6,FALSE),"")</f>
      </c>
      <c r="O5">
        <f>IFERROR(VLOOKUP($B5,Employees!$A:$F,5,FALSE),"")</f>
      </c>
      <c r="P5" t="str">
        <v>2026-08-31</v>
      </c>
      <c r="Q5">
        <f>IF($M5="",$I5,$M5)</f>
      </c>
      <c r="R5" t="str">
        <v/>
      </c>
    </row>
    <row r="6">
      <c r="A6" t="str">
        <v>S0005</v>
      </c>
      <c r="B6" t="str">
        <v>PB-003</v>
      </c>
      <c r="C6" t="str">
        <v>Shiva Kumar Pulapati</v>
      </c>
      <c r="D6" t="str">
        <v>2026-09-02</v>
      </c>
      <c r="E6" t="str">
        <v>Wed</v>
      </c>
      <c r="F6" t="str">
        <v>12:00</v>
      </c>
      <c r="G6" t="str">
        <v>20:30</v>
      </c>
      <c r="H6">
        <v>45</v>
      </c>
      <c r="I6">
        <f>IF(OR($F6="",$G6=""),"",ROUND(MOD(TIMEVALUE($G6)-TIMEVALUE($F6),1)*24-$H6/60,2))</f>
      </c>
      <c r="J6" t="str">
        <v>12:00</v>
      </c>
      <c r="K6" t="str">
        <v>21:15</v>
      </c>
      <c r="L6">
        <v>45</v>
      </c>
      <c r="M6">
        <f>IF(OR($J6="",$K6=""),"",ROUND(MOD(TIMEVALUE($K6)-TIMEVALUE($J6),1)*24-IF($L6="",0,$L6)/60,2))</f>
      </c>
      <c r="N6">
        <f>IFERROR(VLOOKUP($B6,Employees!$A:$F,6,FALSE),"")</f>
      </c>
      <c r="O6">
        <f>IFERROR(VLOOKUP($B6,Employees!$A:$F,5,FALSE),"")</f>
      </c>
      <c r="P6" t="str">
        <v>2026-08-31</v>
      </c>
      <c r="Q6">
        <f>IF($M6="",$I6,$M6)</f>
      </c>
      <c r="R6" t="str">
        <v/>
      </c>
    </row>
    <row r="7">
      <c r="A7" t="str">
        <v>S0006</v>
      </c>
      <c r="B7" t="str">
        <v>PB-001</v>
      </c>
      <c r="C7" t="str">
        <v>Tulsi Jagtap Surendra</v>
      </c>
      <c r="D7" t="str">
        <v>2026-09-03</v>
      </c>
      <c r="E7" t="str">
        <v>Thu</v>
      </c>
      <c r="F7" t="str">
        <v>10:00</v>
      </c>
      <c r="G7" t="str">
        <v>18:00</v>
      </c>
      <c r="H7">
        <v>45</v>
      </c>
      <c r="I7">
        <f>IF(OR($F7="",$G7=""),"",ROUND(MOD(TIMEVALUE($G7)-TIMEVALUE($F7),1)*24-$H7/60,2))</f>
      </c>
      <c r="J7" t="str">
        <v>10:05</v>
      </c>
      <c r="K7" t="str">
        <v>18:00</v>
      </c>
      <c r="L7">
        <v>45</v>
      </c>
      <c r="M7">
        <f>IF(OR($J7="",$K7=""),"",ROUND(MOD(TIMEVALUE($K7)-TIMEVALUE($J7),1)*24-IF($L7="",0,$L7)/60,2))</f>
      </c>
      <c r="N7">
        <f>IFERROR(VLOOKUP($B7,Employees!$A:$F,6,FALSE),"")</f>
      </c>
      <c r="O7">
        <f>IFERROR(VLOOKUP($B7,Employees!$A:$F,5,FALSE),"")</f>
      </c>
      <c r="P7" t="str">
        <v>2026-08-31</v>
      </c>
      <c r="Q7">
        <f>IF($M7="",$I7,$M7)</f>
      </c>
      <c r="R7" t="str">
        <v/>
      </c>
    </row>
    <row r="8">
      <c r="A8" t="str">
        <v>S0007</v>
      </c>
      <c r="B8" t="str">
        <v>PB-002</v>
      </c>
      <c r="C8" t="str">
        <v>Liam Phillip Flude</v>
      </c>
      <c r="D8" t="str">
        <v>2026-09-03</v>
      </c>
      <c r="E8" t="str">
        <v>Thu</v>
      </c>
      <c r="F8" t="str">
        <v>18:00</v>
      </c>
      <c r="G8" t="str">
        <v>02:00</v>
      </c>
      <c r="H8">
        <v>30</v>
      </c>
      <c r="I8">
        <f>IF(OR($F8="",$G8=""),"",ROUND(MOD(TIMEVALUE($G8)-TIMEVALUE($F8),1)*24-$H8/60,2))</f>
      </c>
      <c r="J8" t="str">
        <v>18:00</v>
      </c>
      <c r="K8" t="str">
        <v/>
      </c>
      <c r="L8" t="str">
        <v/>
      </c>
      <c r="M8">
        <f>IF(OR($J8="",$K8=""),"",ROUND(MOD(TIMEVALUE($K8)-TIMEVALUE($J8),1)*24-IF($L8="",0,$L8)/60,2))</f>
      </c>
      <c r="N8">
        <f>IFERROR(VLOOKUP($B8,Employees!$A:$F,6,FALSE),"")</f>
      </c>
      <c r="O8">
        <f>IFERROR(VLOOKUP($B8,Employees!$A:$F,5,FALSE),"")</f>
      </c>
      <c r="P8" t="str">
        <v>2026-08-31</v>
      </c>
      <c r="Q8">
        <f>IF($M8="",$I8,$M8)</f>
      </c>
      <c r="R8" t="str">
        <v/>
      </c>
    </row>
    <row r="9">
      <c r="A9" t="str">
        <v>S0008</v>
      </c>
      <c r="B9" t="str">
        <v>PB-003</v>
      </c>
      <c r="C9" t="str">
        <v>Shiva Kumar Pulapati</v>
      </c>
      <c r="D9" t="str">
        <v>2026-09-03</v>
      </c>
      <c r="E9" t="str">
        <v>Thu</v>
      </c>
      <c r="F9" t="str">
        <v>12:00</v>
      </c>
      <c r="G9" t="str">
        <v>20:30</v>
      </c>
      <c r="H9">
        <v>45</v>
      </c>
      <c r="I9">
        <f>IF(OR($F9="",$G9=""),"",ROUND(MOD(TIMEVALUE($G9)-TIMEVALUE($F9),1)*24-$H9/60,2))</f>
      </c>
      <c r="J9" t="str">
        <v>12:00</v>
      </c>
      <c r="K9" t="str">
        <v>20:30</v>
      </c>
      <c r="L9">
        <v>45</v>
      </c>
      <c r="M9">
        <f>IF(OR($J9="",$K9=""),"",ROUND(MOD(TIMEVALUE($K9)-TIMEVALUE($J9),1)*24-IF($L9="",0,$L9)/60,2))</f>
      </c>
      <c r="N9">
        <f>IFERROR(VLOOKUP($B9,Employees!$A:$F,6,FALSE),"")</f>
      </c>
      <c r="O9">
        <f>IFERROR(VLOOKUP($B9,Employees!$A:$F,5,FALSE),"")</f>
      </c>
      <c r="P9" t="str">
        <v>2026-08-31</v>
      </c>
      <c r="Q9">
        <f>IF($M9="",$I9,$M9)</f>
      </c>
      <c r="R9" t="str">
        <v/>
      </c>
    </row>
    <row r="10">
      <c r="A10" t="str">
        <v>S0009</v>
      </c>
      <c r="B10" t="str">
        <v>PB-001</v>
      </c>
      <c r="C10" t="str">
        <v>Tulsi Jagtap Surendra</v>
      </c>
      <c r="D10" t="str">
        <v>2026-09-04</v>
      </c>
      <c r="E10" t="str">
        <v>Fri</v>
      </c>
      <c r="F10" t="str">
        <v>10:00</v>
      </c>
      <c r="G10" t="str">
        <v>18:00</v>
      </c>
      <c r="H10">
        <v>45</v>
      </c>
      <c r="I10">
        <f>IF(OR($F10="",$G10=""),"",ROUND(MOD(TIMEVALUE($G10)-TIMEVALUE($F10),1)*24-$H10/60,2))</f>
      </c>
      <c r="J10" t="str">
        <v>10:00</v>
      </c>
      <c r="K10" t="str">
        <v>18:00</v>
      </c>
      <c r="L10">
        <v>45</v>
      </c>
      <c r="M10">
        <f>IF(OR($J10="",$K10=""),"",ROUND(MOD(TIMEVALUE($K10)-TIMEVALUE($J10),1)*24-IF($L10="",0,$L10)/60,2))</f>
      </c>
      <c r="N10">
        <f>IFERROR(VLOOKUP($B10,Employees!$A:$F,6,FALSE),"")</f>
      </c>
      <c r="O10">
        <f>IFERROR(VLOOKUP($B10,Employees!$A:$F,5,FALSE),"")</f>
      </c>
      <c r="P10" t="str">
        <v>2026-08-31</v>
      </c>
      <c r="Q10">
        <f>IF($M10="",$I10,$M10)</f>
      </c>
      <c r="R10" t="str">
        <v/>
      </c>
    </row>
    <row r="11">
      <c r="A11" t="str">
        <v>S0010</v>
      </c>
      <c r="B11" t="str">
        <v>PB-002</v>
      </c>
      <c r="C11" t="str">
        <v>Liam Phillip Flude</v>
      </c>
      <c r="D11" t="str">
        <v>2026-09-04</v>
      </c>
      <c r="E11" t="str">
        <v>Fri</v>
      </c>
      <c r="F11" t="str">
        <v>18:00</v>
      </c>
      <c r="G11" t="str">
        <v>02:00</v>
      </c>
      <c r="H11">
        <v>30</v>
      </c>
      <c r="I11">
        <f>IF(OR($F11="",$G11=""),"",ROUND(MOD(TIMEVALUE($G11)-TIMEVALUE($F11),1)*24-$H11/60,2))</f>
      </c>
      <c r="J11" t="str">
        <v>18:00</v>
      </c>
      <c r="K11" t="str">
        <v>02:45</v>
      </c>
      <c r="L11">
        <v>30</v>
      </c>
      <c r="M11">
        <f>IF(OR($J11="",$K11=""),"",ROUND(MOD(TIMEVALUE($K11)-TIMEVALUE($J11),1)*24-IF($L11="",0,$L11)/60,2))</f>
      </c>
      <c r="N11">
        <f>IFERROR(VLOOKUP($B11,Employees!$A:$F,6,FALSE),"")</f>
      </c>
      <c r="O11">
        <f>IFERROR(VLOOKUP($B11,Employees!$A:$F,5,FALSE),"")</f>
      </c>
      <c r="P11" t="str">
        <v>2026-08-31</v>
      </c>
      <c r="Q11">
        <f>IF($M11="",$I11,$M11)</f>
      </c>
      <c r="R11" t="str">
        <v/>
      </c>
    </row>
    <row r="12">
      <c r="A12" t="str">
        <v>S0011</v>
      </c>
      <c r="B12" t="str">
        <v>PB-003</v>
      </c>
      <c r="C12" t="str">
        <v>Shiva Kumar Pulapati</v>
      </c>
      <c r="D12" t="str">
        <v>2026-09-04</v>
      </c>
      <c r="E12" t="str">
        <v>Fri</v>
      </c>
      <c r="F12" t="str">
        <v>12:00</v>
      </c>
      <c r="G12" t="str">
        <v>20:30</v>
      </c>
      <c r="H12">
        <v>45</v>
      </c>
      <c r="I12">
        <f>IF(OR($F12="",$G12=""),"",ROUND(MOD(TIMEVALUE($G12)-TIMEVALUE($F12),1)*24-$H12/60,2))</f>
      </c>
      <c r="J12" t="str">
        <v>12:00</v>
      </c>
      <c r="K12" t="str">
        <v>20:30</v>
      </c>
      <c r="L12">
        <v>45</v>
      </c>
      <c r="M12">
        <f>IF(OR($J12="",$K12=""),"",ROUND(MOD(TIMEVALUE($K12)-TIMEVALUE($J12),1)*24-IF($L12="",0,$L12)/60,2))</f>
      </c>
      <c r="N12">
        <f>IFERROR(VLOOKUP($B12,Employees!$A:$F,6,FALSE),"")</f>
      </c>
      <c r="O12">
        <f>IFERROR(VLOOKUP($B12,Employees!$A:$F,5,FALSE),"")</f>
      </c>
      <c r="P12" t="str">
        <v>2026-08-31</v>
      </c>
      <c r="Q12">
        <f>IF($M12="",$I12,$M12)</f>
      </c>
      <c r="R12" t="str">
        <v/>
      </c>
    </row>
    <row r="13">
      <c r="A13" t="str">
        <v>S0012</v>
      </c>
      <c r="B13" t="str">
        <v>PB-004</v>
      </c>
      <c r="C13" t="str">
        <v>Callum john Kemp</v>
      </c>
      <c r="D13" t="str">
        <v>2026-09-04</v>
      </c>
      <c r="E13" t="str">
        <v>Fri</v>
      </c>
      <c r="F13" t="str">
        <v>17:00</v>
      </c>
      <c r="G13" t="str">
        <v>00:00</v>
      </c>
      <c r="H13">
        <v>30</v>
      </c>
      <c r="I13">
        <f>IF(OR($F13="",$G13=""),"",ROUND(MOD(TIMEVALUE($G13)-TIMEVALUE($F13),1)*24-$H13/60,2))</f>
      </c>
      <c r="J13" t="str">
        <v>17:05</v>
      </c>
      <c r="K13" t="str">
        <v>00:00</v>
      </c>
      <c r="L13">
        <v>30</v>
      </c>
      <c r="M13">
        <f>IF(OR($J13="",$K13=""),"",ROUND(MOD(TIMEVALUE($K13)-TIMEVALUE($J13),1)*24-IF($L13="",0,$L13)/60,2))</f>
      </c>
      <c r="N13">
        <f>IFERROR(VLOOKUP($B13,Employees!$A:$F,6,FALSE),"")</f>
      </c>
      <c r="O13">
        <f>IFERROR(VLOOKUP($B13,Employees!$A:$F,5,FALSE),"")</f>
      </c>
      <c r="P13" t="str">
        <v>2026-08-31</v>
      </c>
      <c r="Q13">
        <f>IF($M13="",$I13,$M13)</f>
      </c>
      <c r="R13" t="str">
        <v/>
      </c>
    </row>
    <row r="14">
      <c r="A14" t="str">
        <v>S0013</v>
      </c>
      <c r="B14" t="str">
        <v>PB-002</v>
      </c>
      <c r="C14" t="str">
        <v>Liam Phillip Flude</v>
      </c>
      <c r="D14" t="str">
        <v>2026-09-05</v>
      </c>
      <c r="E14" t="str">
        <v>Sat</v>
      </c>
      <c r="F14" t="str">
        <v>18:00</v>
      </c>
      <c r="G14" t="str">
        <v>02:00</v>
      </c>
      <c r="H14">
        <v>30</v>
      </c>
      <c r="I14">
        <f>IF(OR($F14="",$G14=""),"",ROUND(MOD(TIMEVALUE($G14)-TIMEVALUE($F14),1)*24-$H14/60,2))</f>
      </c>
      <c r="J14" t="str">
        <v>18:00</v>
      </c>
      <c r="K14" t="str">
        <v>02:00</v>
      </c>
      <c r="L14">
        <v>30</v>
      </c>
      <c r="M14">
        <f>IF(OR($J14="",$K14=""),"",ROUND(MOD(TIMEVALUE($K14)-TIMEVALUE($J14),1)*24-IF($L14="",0,$L14)/60,2))</f>
      </c>
      <c r="N14">
        <f>IFERROR(VLOOKUP($B14,Employees!$A:$F,6,FALSE),"")</f>
      </c>
      <c r="O14">
        <f>IFERROR(VLOOKUP($B14,Employees!$A:$F,5,FALSE),"")</f>
      </c>
      <c r="P14" t="str">
        <v>2026-08-31</v>
      </c>
      <c r="Q14">
        <f>IF($M14="",$I14,$M14)</f>
      </c>
      <c r="R14" t="str">
        <v/>
      </c>
    </row>
    <row r="15">
      <c r="A15" t="str">
        <v>S0014</v>
      </c>
      <c r="B15" t="str">
        <v>PB-003</v>
      </c>
      <c r="C15" t="str">
        <v>Shiva Kumar Pulapati</v>
      </c>
      <c r="D15" t="str">
        <v>2026-09-05</v>
      </c>
      <c r="E15" t="str">
        <v>Sat</v>
      </c>
      <c r="F15" t="str">
        <v>12:00</v>
      </c>
      <c r="G15" t="str">
        <v>20:30</v>
      </c>
      <c r="H15">
        <v>45</v>
      </c>
      <c r="I15">
        <f>IF(OR($F15="",$G15=""),"",ROUND(MOD(TIMEVALUE($G15)-TIMEVALUE($F15),1)*24-$H15/60,2))</f>
      </c>
      <c r="J15" t="str">
        <v>12:00</v>
      </c>
      <c r="K15" t="str">
        <v/>
      </c>
      <c r="L15" t="str">
        <v/>
      </c>
      <c r="M15">
        <f>IF(OR($J15="",$K15=""),"",ROUND(MOD(TIMEVALUE($K15)-TIMEVALUE($J15),1)*24-IF($L15="",0,$L15)/60,2))</f>
      </c>
      <c r="N15">
        <f>IFERROR(VLOOKUP($B15,Employees!$A:$F,6,FALSE),"")</f>
      </c>
      <c r="O15">
        <f>IFERROR(VLOOKUP($B15,Employees!$A:$F,5,FALSE),"")</f>
      </c>
      <c r="P15" t="str">
        <v>2026-08-31</v>
      </c>
      <c r="Q15">
        <f>IF($M15="",$I15,$M15)</f>
      </c>
      <c r="R15" t="str">
        <v/>
      </c>
    </row>
    <row r="16">
      <c r="A16" t="str">
        <v>S0015</v>
      </c>
      <c r="B16" t="str">
        <v>PB-004</v>
      </c>
      <c r="C16" t="str">
        <v>Callum john Kemp</v>
      </c>
      <c r="D16" t="str">
        <v>2026-09-05</v>
      </c>
      <c r="E16" t="str">
        <v>Sat</v>
      </c>
      <c r="F16" t="str">
        <v>17:00</v>
      </c>
      <c r="G16" t="str">
        <v>00:00</v>
      </c>
      <c r="H16">
        <v>30</v>
      </c>
      <c r="I16">
        <f>IF(OR($F16="",$G16=""),"",ROUND(MOD(TIMEVALUE($G16)-TIMEVALUE($F16),1)*24-$H16/60,2))</f>
      </c>
      <c r="J16" t="str">
        <v>17:00</v>
      </c>
      <c r="K16" t="str">
        <v>00:45</v>
      </c>
      <c r="L16">
        <v>30</v>
      </c>
      <c r="M16">
        <f>IF(OR($J16="",$K16=""),"",ROUND(MOD(TIMEVALUE($K16)-TIMEVALUE($J16),1)*24-IF($L16="",0,$L16)/60,2))</f>
      </c>
      <c r="N16">
        <f>IFERROR(VLOOKUP($B16,Employees!$A:$F,6,FALSE),"")</f>
      </c>
      <c r="O16">
        <f>IFERROR(VLOOKUP($B16,Employees!$A:$F,5,FALSE),"")</f>
      </c>
      <c r="P16" t="str">
        <v>2026-08-31</v>
      </c>
      <c r="Q16">
        <f>IF($M16="",$I16,$M16)</f>
      </c>
      <c r="R16" t="str">
        <v/>
      </c>
    </row>
    <row r="17">
      <c r="A17" t="str">
        <v>S0017</v>
      </c>
      <c r="B17" t="str">
        <v>PB-003</v>
      </c>
      <c r="C17" t="str">
        <v>Shiva Kumar Pulapati</v>
      </c>
      <c r="D17" t="str">
        <v>2026-09-06</v>
      </c>
      <c r="E17" t="str">
        <v>Sun</v>
      </c>
      <c r="F17" t="str">
        <v>12:00</v>
      </c>
      <c r="G17" t="str">
        <v>20:30</v>
      </c>
      <c r="H17">
        <v>45</v>
      </c>
      <c r="I17">
        <f>IF(OR($F17="",$G17=""),"",ROUND(MOD(TIMEVALUE($G17)-TIMEVALUE($F17),1)*24-$H17/60,2))</f>
      </c>
      <c r="J17" t="str">
        <v>12:00</v>
      </c>
      <c r="K17" t="str">
        <v>20:30</v>
      </c>
      <c r="L17">
        <v>45</v>
      </c>
      <c r="M17">
        <f>IF(OR($J17="",$K17=""),"",ROUND(MOD(TIMEVALUE($K17)-TIMEVALUE($J17),1)*24-IF($L17="",0,$L17)/60,2))</f>
      </c>
      <c r="N17">
        <f>IFERROR(VLOOKUP($B17,Employees!$A:$F,6,FALSE),"")</f>
      </c>
      <c r="O17">
        <f>IFERROR(VLOOKUP($B17,Employees!$A:$F,5,FALSE),"")</f>
      </c>
      <c r="P17" t="str">
        <v>2026-08-31</v>
      </c>
      <c r="Q17">
        <f>IF($M17="",$I17,$M17)</f>
      </c>
      <c r="R17" t="str">
        <v/>
      </c>
    </row>
    <row r="18">
      <c r="A18" t="str">
        <v>S0016</v>
      </c>
      <c r="B18" t="str">
        <v>PB-004</v>
      </c>
      <c r="C18" t="str">
        <v>Callum john Kemp</v>
      </c>
      <c r="D18" t="str">
        <v>2026-09-06</v>
      </c>
      <c r="E18" t="str">
        <v>Sun</v>
      </c>
      <c r="F18" t="str">
        <v>17:00</v>
      </c>
      <c r="G18" t="str">
        <v>00:00</v>
      </c>
      <c r="H18">
        <v>30</v>
      </c>
      <c r="I18">
        <f>IF(OR($F18="",$G18=""),"",ROUND(MOD(TIMEVALUE($G18)-TIMEVALUE($F18),1)*24-$H18/60,2))</f>
      </c>
      <c r="J18" t="str">
        <v>17:00</v>
      </c>
      <c r="K18" t="str">
        <v>00:00</v>
      </c>
      <c r="L18">
        <v>30</v>
      </c>
      <c r="M18">
        <f>IF(OR($J18="",$K18=""),"",ROUND(MOD(TIMEVALUE($K18)-TIMEVALUE($J18),1)*24-IF($L18="",0,$L18)/60,2))</f>
      </c>
      <c r="N18">
        <f>IFERROR(VLOOKUP($B18,Employees!$A:$F,6,FALSE),"")</f>
      </c>
      <c r="O18">
        <f>IFERROR(VLOOKUP($B18,Employees!$A:$F,5,FALSE),"")</f>
      </c>
      <c r="P18" t="str">
        <v>2026-08-31</v>
      </c>
      <c r="Q18">
        <f>IF($M18="",$I18,$M18)</f>
      </c>
      <c r="R18" t="str">
        <v/>
      </c>
    </row>
    <row r="19">
      <c r="A19" t="str">
        <v>S0018</v>
      </c>
      <c r="B19" t="str">
        <v>PB-001</v>
      </c>
      <c r="C19" t="str">
        <v>Tulsi Jagtap Surendra</v>
      </c>
      <c r="D19" t="str">
        <v>2026-09-07</v>
      </c>
      <c r="E19" t="str">
        <v>Mon</v>
      </c>
      <c r="F19" t="str">
        <v>11:00</v>
      </c>
      <c r="G19" t="str">
        <v>16:00</v>
      </c>
      <c r="H19">
        <v>0</v>
      </c>
      <c r="I19">
        <f>IF(OR($F19="",$G19=""),"",ROUND(MOD(TIMEVALUE($G19)-TIMEVALUE($F19),1)*24-$H19/60,2))</f>
      </c>
      <c r="J19" t="str">
        <v>11:00</v>
      </c>
      <c r="K19" t="str">
        <v>16:00</v>
      </c>
      <c r="L19">
        <v>0</v>
      </c>
      <c r="M19">
        <f>IF(OR($J19="",$K19=""),"",ROUND(MOD(TIMEVALUE($K19)-TIMEVALUE($J19),1)*24-IF($L19="",0,$L19)/60,2))</f>
      </c>
      <c r="N19">
        <f>IFERROR(VLOOKUP($B19,Employees!$A:$F,6,FALSE),"")</f>
      </c>
      <c r="O19">
        <f>IFERROR(VLOOKUP($B19,Employees!$A:$F,5,FALSE),"")</f>
      </c>
      <c r="P19" t="str">
        <v>2026-09-07</v>
      </c>
      <c r="Q19">
        <f>IF($M19="",$I19,$M19)</f>
      </c>
      <c r="R19" t="str">
        <v/>
      </c>
    </row>
    <row r="20">
      <c r="A20" t="str">
        <v>S0019</v>
      </c>
      <c r="B20" t="str">
        <v>PB-001</v>
      </c>
      <c r="C20" t="str">
        <v>Tulsi Jagtap Surendra</v>
      </c>
      <c r="D20" t="str">
        <v>2026-09-08</v>
      </c>
      <c r="E20" t="str">
        <v>Tue</v>
      </c>
      <c r="F20" t="str">
        <v>10:00</v>
      </c>
      <c r="G20" t="str">
        <v>18:00</v>
      </c>
      <c r="H20">
        <v>45</v>
      </c>
      <c r="I20">
        <f>IF(OR($F20="",$G20=""),"",ROUND(MOD(TIMEVALUE($G20)-TIMEVALUE($F20),1)*24-$H20/60,2))</f>
      </c>
      <c r="J20" t="str">
        <v>10:00</v>
      </c>
      <c r="K20" t="str">
        <v>18:00</v>
      </c>
      <c r="L20">
        <v>45</v>
      </c>
      <c r="M20">
        <f>IF(OR($J20="",$K20=""),"",ROUND(MOD(TIMEVALUE($K20)-TIMEVALUE($J20),1)*24-IF($L20="",0,$L20)/60,2))</f>
      </c>
      <c r="N20">
        <f>IFERROR(VLOOKUP($B20,Employees!$A:$F,6,FALSE),"")</f>
      </c>
      <c r="O20">
        <f>IFERROR(VLOOKUP($B20,Employees!$A:$F,5,FALSE),"")</f>
      </c>
      <c r="P20" t="str">
        <v>2026-09-07</v>
      </c>
      <c r="Q20">
        <f>IF($M20="",$I20,$M20)</f>
      </c>
      <c r="R20" t="str">
        <v/>
      </c>
    </row>
    <row r="21">
      <c r="A21" t="str">
        <v>S0020</v>
      </c>
      <c r="B21" t="str">
        <v>PB-003</v>
      </c>
      <c r="C21" t="str">
        <v>Shiva Kumar Pulapati</v>
      </c>
      <c r="D21" t="str">
        <v>2026-09-08</v>
      </c>
      <c r="E21" t="str">
        <v>Tue</v>
      </c>
      <c r="F21" t="str">
        <v>12:00</v>
      </c>
      <c r="G21" t="str">
        <v>20:30</v>
      </c>
      <c r="H21">
        <v>45</v>
      </c>
      <c r="I21">
        <f>IF(OR($F21="",$G21=""),"",ROUND(MOD(TIMEVALUE($G21)-TIMEVALUE($F21),1)*24-$H21/60,2))</f>
      </c>
      <c r="J21" t="str">
        <v>12:00</v>
      </c>
      <c r="K21" t="str">
        <v>21:15</v>
      </c>
      <c r="L21">
        <v>45</v>
      </c>
      <c r="M21">
        <f>IF(OR($J21="",$K21=""),"",ROUND(MOD(TIMEVALUE($K21)-TIMEVALUE($J21),1)*24-IF($L21="",0,$L21)/60,2))</f>
      </c>
      <c r="N21">
        <f>IFERROR(VLOOKUP($B21,Employees!$A:$F,6,FALSE),"")</f>
      </c>
      <c r="O21">
        <f>IFERROR(VLOOKUP($B21,Employees!$A:$F,5,FALSE),"")</f>
      </c>
      <c r="P21" t="str">
        <v>2026-09-07</v>
      </c>
      <c r="Q21">
        <f>IF($M21="",$I21,$M21)</f>
      </c>
      <c r="R21" t="str">
        <v/>
      </c>
    </row>
    <row r="22">
      <c r="A22" t="str">
        <v>S0021</v>
      </c>
      <c r="B22" t="str">
        <v>PB-001</v>
      </c>
      <c r="C22" t="str">
        <v>Tulsi Jagtap Surendra</v>
      </c>
      <c r="D22" t="str">
        <v>2026-09-09</v>
      </c>
      <c r="E22" t="str">
        <v>Wed</v>
      </c>
      <c r="F22" t="str">
        <v>10:00</v>
      </c>
      <c r="G22" t="str">
        <v>18:00</v>
      </c>
      <c r="H22">
        <v>45</v>
      </c>
      <c r="I22">
        <f>IF(OR($F22="",$G22=""),"",ROUND(MOD(TIMEVALUE($G22)-TIMEVALUE($F22),1)*24-$H22/60,2))</f>
      </c>
      <c r="J22" t="str">
        <v>10:00</v>
      </c>
      <c r="K22" t="str">
        <v/>
      </c>
      <c r="L22" t="str">
        <v/>
      </c>
      <c r="M22">
        <f>IF(OR($J22="",$K22=""),"",ROUND(MOD(TIMEVALUE($K22)-TIMEVALUE($J22),1)*24-IF($L22="",0,$L22)/60,2))</f>
      </c>
      <c r="N22">
        <f>IFERROR(VLOOKUP($B22,Employees!$A:$F,6,FALSE),"")</f>
      </c>
      <c r="O22">
        <f>IFERROR(VLOOKUP($B22,Employees!$A:$F,5,FALSE),"")</f>
      </c>
      <c r="P22" t="str">
        <v>2026-09-07</v>
      </c>
      <c r="Q22">
        <f>IF($M22="",$I22,$M22)</f>
      </c>
      <c r="R22" t="str">
        <v/>
      </c>
    </row>
    <row r="23">
      <c r="A23" t="str">
        <v>S0022</v>
      </c>
      <c r="B23" t="str">
        <v>PB-003</v>
      </c>
      <c r="C23" t="str">
        <v>Shiva Kumar Pulapati</v>
      </c>
      <c r="D23" t="str">
        <v>2026-09-09</v>
      </c>
      <c r="E23" t="str">
        <v>Wed</v>
      </c>
      <c r="F23" t="str">
        <v>12:00</v>
      </c>
      <c r="G23" t="str">
        <v>20:30</v>
      </c>
      <c r="H23">
        <v>45</v>
      </c>
      <c r="I23">
        <f>IF(OR($F23="",$G23=""),"",ROUND(MOD(TIMEVALUE($G23)-TIMEVALUE($F23),1)*24-$H23/60,2))</f>
      </c>
      <c r="J23" t="str">
        <v>12:00</v>
      </c>
      <c r="K23" t="str">
        <v>20:30</v>
      </c>
      <c r="L23">
        <v>45</v>
      </c>
      <c r="M23">
        <f>IF(OR($J23="",$K23=""),"",ROUND(MOD(TIMEVALUE($K23)-TIMEVALUE($J23),1)*24-IF($L23="",0,$L23)/60,2))</f>
      </c>
      <c r="N23">
        <f>IFERROR(VLOOKUP($B23,Employees!$A:$F,6,FALSE),"")</f>
      </c>
      <c r="O23">
        <f>IFERROR(VLOOKUP($B23,Employees!$A:$F,5,FALSE),"")</f>
      </c>
      <c r="P23" t="str">
        <v>2026-09-07</v>
      </c>
      <c r="Q23">
        <f>IF($M23="",$I23,$M23)</f>
      </c>
      <c r="R23" t="str">
        <v/>
      </c>
    </row>
    <row r="24">
      <c r="A24" t="str">
        <v>S0023</v>
      </c>
      <c r="B24" t="str">
        <v>PB-001</v>
      </c>
      <c r="C24" t="str">
        <v>Tulsi Jagtap Surendra</v>
      </c>
      <c r="D24" t="str">
        <v>2026-09-10</v>
      </c>
      <c r="E24" t="str">
        <v>Thu</v>
      </c>
      <c r="F24" t="str">
        <v>10:00</v>
      </c>
      <c r="G24" t="str">
        <v>18:00</v>
      </c>
      <c r="H24">
        <v>45</v>
      </c>
      <c r="I24">
        <f>IF(OR($F24="",$G24=""),"",ROUND(MOD(TIMEVALUE($G24)-TIMEVALUE($F24),1)*24-$H24/60,2))</f>
      </c>
      <c r="J24" t="str">
        <v>10:00</v>
      </c>
      <c r="K24" t="str">
        <v>18:00</v>
      </c>
      <c r="L24">
        <v>45</v>
      </c>
      <c r="M24">
        <f>IF(OR($J24="",$K24=""),"",ROUND(MOD(TIMEVALUE($K24)-TIMEVALUE($J24),1)*24-IF($L24="",0,$L24)/60,2))</f>
      </c>
      <c r="N24">
        <f>IFERROR(VLOOKUP($B24,Employees!$A:$F,6,FALSE),"")</f>
      </c>
      <c r="O24">
        <f>IFERROR(VLOOKUP($B24,Employees!$A:$F,5,FALSE),"")</f>
      </c>
      <c r="P24" t="str">
        <v>2026-09-07</v>
      </c>
      <c r="Q24">
        <f>IF($M24="",$I24,$M24)</f>
      </c>
      <c r="R24" t="str">
        <v/>
      </c>
    </row>
    <row r="25">
      <c r="A25" t="str">
        <v>S0024</v>
      </c>
      <c r="B25" t="str">
        <v>PB-002</v>
      </c>
      <c r="C25" t="str">
        <v>Liam Phillip Flude</v>
      </c>
      <c r="D25" t="str">
        <v>2026-09-10</v>
      </c>
      <c r="E25" t="str">
        <v>Thu</v>
      </c>
      <c r="F25" t="str">
        <v>18:00</v>
      </c>
      <c r="G25" t="str">
        <v>02:00</v>
      </c>
      <c r="H25">
        <v>30</v>
      </c>
      <c r="I25">
        <f>IF(OR($F25="",$G25=""),"",ROUND(MOD(TIMEVALUE($G25)-TIMEVALUE($F25),1)*24-$H25/60,2))</f>
      </c>
      <c r="J25" t="str">
        <v>18:05</v>
      </c>
      <c r="K25" t="str">
        <v>02:00</v>
      </c>
      <c r="L25">
        <v>30</v>
      </c>
      <c r="M25">
        <f>IF(OR($J25="",$K25=""),"",ROUND(MOD(TIMEVALUE($K25)-TIMEVALUE($J25),1)*24-IF($L25="",0,$L25)/60,2))</f>
      </c>
      <c r="N25">
        <f>IFERROR(VLOOKUP($B25,Employees!$A:$F,6,FALSE),"")</f>
      </c>
      <c r="O25">
        <f>IFERROR(VLOOKUP($B25,Employees!$A:$F,5,FALSE),"")</f>
      </c>
      <c r="P25" t="str">
        <v>2026-09-07</v>
      </c>
      <c r="Q25">
        <f>IF($M25="",$I25,$M25)</f>
      </c>
      <c r="R25" t="str">
        <v/>
      </c>
    </row>
    <row r="26">
      <c r="A26" t="str">
        <v>S0025</v>
      </c>
      <c r="B26" t="str">
        <v>PB-003</v>
      </c>
      <c r="C26" t="str">
        <v>Shiva Kumar Pulapati</v>
      </c>
      <c r="D26" t="str">
        <v>2026-09-10</v>
      </c>
      <c r="E26" t="str">
        <v>Thu</v>
      </c>
      <c r="F26" t="str">
        <v>12:00</v>
      </c>
      <c r="G26" t="str">
        <v>20:30</v>
      </c>
      <c r="H26">
        <v>45</v>
      </c>
      <c r="I26">
        <f>IF(OR($F26="",$G26=""),"",ROUND(MOD(TIMEVALUE($G26)-TIMEVALUE($F26),1)*24-$H26/60,2))</f>
      </c>
      <c r="J26" t="str">
        <v>12:00</v>
      </c>
      <c r="K26" t="str">
        <v>21:15</v>
      </c>
      <c r="L26">
        <v>45</v>
      </c>
      <c r="M26">
        <f>IF(OR($J26="",$K26=""),"",ROUND(MOD(TIMEVALUE($K26)-TIMEVALUE($J26),1)*24-IF($L26="",0,$L26)/60,2))</f>
      </c>
      <c r="N26">
        <f>IFERROR(VLOOKUP($B26,Employees!$A:$F,6,FALSE),"")</f>
      </c>
      <c r="O26">
        <f>IFERROR(VLOOKUP($B26,Employees!$A:$F,5,FALSE),"")</f>
      </c>
      <c r="P26" t="str">
        <v>2026-09-07</v>
      </c>
      <c r="Q26">
        <f>IF($M26="",$I26,$M26)</f>
      </c>
      <c r="R26" t="str">
        <v/>
      </c>
    </row>
    <row r="27">
      <c r="A27" t="str">
        <v>S0026</v>
      </c>
      <c r="B27" t="str">
        <v>PB-001</v>
      </c>
      <c r="C27" t="str">
        <v>Tulsi Jagtap Surendra</v>
      </c>
      <c r="D27" t="str">
        <v>2026-09-11</v>
      </c>
      <c r="E27" t="str">
        <v>Fri</v>
      </c>
      <c r="F27" t="str">
        <v>10:00</v>
      </c>
      <c r="G27" t="str">
        <v>18:00</v>
      </c>
      <c r="H27">
        <v>45</v>
      </c>
      <c r="I27">
        <f>IF(OR($F27="",$G27=""),"",ROUND(MOD(TIMEVALUE($G27)-TIMEVALUE($F27),1)*24-$H27/60,2))</f>
      </c>
      <c r="J27" t="str">
        <v>10:00</v>
      </c>
      <c r="K27" t="str">
        <v>18:00</v>
      </c>
      <c r="L27">
        <v>45</v>
      </c>
      <c r="M27">
        <f>IF(OR($J27="",$K27=""),"",ROUND(MOD(TIMEVALUE($K27)-TIMEVALUE($J27),1)*24-IF($L27="",0,$L27)/60,2))</f>
      </c>
      <c r="N27">
        <f>IFERROR(VLOOKUP($B27,Employees!$A:$F,6,FALSE),"")</f>
      </c>
      <c r="O27">
        <f>IFERROR(VLOOKUP($B27,Employees!$A:$F,5,FALSE),"")</f>
      </c>
      <c r="P27" t="str">
        <v>2026-09-07</v>
      </c>
      <c r="Q27">
        <f>IF($M27="",$I27,$M27)</f>
      </c>
      <c r="R27" t="str">
        <v/>
      </c>
    </row>
    <row r="28">
      <c r="A28" t="str">
        <v>S0027</v>
      </c>
      <c r="B28" t="str">
        <v>PB-002</v>
      </c>
      <c r="C28" t="str">
        <v>Liam Phillip Flude</v>
      </c>
      <c r="D28" t="str">
        <v>2026-09-11</v>
      </c>
      <c r="E28" t="str">
        <v>Fri</v>
      </c>
      <c r="F28" t="str">
        <v>18:00</v>
      </c>
      <c r="G28" t="str">
        <v>02:00</v>
      </c>
      <c r="H28">
        <v>30</v>
      </c>
      <c r="I28">
        <f>IF(OR($F28="",$G28=""),"",ROUND(MOD(TIMEVALUE($G28)-TIMEVALUE($F28),1)*24-$H28/60,2))</f>
      </c>
      <c r="J28" t="str">
        <v>18:00</v>
      </c>
      <c r="K28" t="str">
        <v>02:00</v>
      </c>
      <c r="L28">
        <v>30</v>
      </c>
      <c r="M28">
        <f>IF(OR($J28="",$K28=""),"",ROUND(MOD(TIMEVALUE($K28)-TIMEVALUE($J28),1)*24-IF($L28="",0,$L28)/60,2))</f>
      </c>
      <c r="N28">
        <f>IFERROR(VLOOKUP($B28,Employees!$A:$F,6,FALSE),"")</f>
      </c>
      <c r="O28">
        <f>IFERROR(VLOOKUP($B28,Employees!$A:$F,5,FALSE),"")</f>
      </c>
      <c r="P28" t="str">
        <v>2026-09-07</v>
      </c>
      <c r="Q28">
        <f>IF($M28="",$I28,$M28)</f>
      </c>
      <c r="R28" t="str">
        <v/>
      </c>
    </row>
    <row r="29">
      <c r="A29" t="str">
        <v>S0028</v>
      </c>
      <c r="B29" t="str">
        <v>PB-003</v>
      </c>
      <c r="C29" t="str">
        <v>Shiva Kumar Pulapati</v>
      </c>
      <c r="D29" t="str">
        <v>2026-09-11</v>
      </c>
      <c r="E29" t="str">
        <v>Fri</v>
      </c>
      <c r="F29" t="str">
        <v>12:00</v>
      </c>
      <c r="G29" t="str">
        <v>20:30</v>
      </c>
      <c r="H29">
        <v>45</v>
      </c>
      <c r="I29">
        <f>IF(OR($F29="",$G29=""),"",ROUND(MOD(TIMEVALUE($G29)-TIMEVALUE($F29),1)*24-$H29/60,2))</f>
      </c>
      <c r="J29" t="str">
        <v>12:00</v>
      </c>
      <c r="K29" t="str">
        <v/>
      </c>
      <c r="L29" t="str">
        <v/>
      </c>
      <c r="M29">
        <f>IF(OR($J29="",$K29=""),"",ROUND(MOD(TIMEVALUE($K29)-TIMEVALUE($J29),1)*24-IF($L29="",0,$L29)/60,2))</f>
      </c>
      <c r="N29">
        <f>IFERROR(VLOOKUP($B29,Employees!$A:$F,6,FALSE),"")</f>
      </c>
      <c r="O29">
        <f>IFERROR(VLOOKUP($B29,Employees!$A:$F,5,FALSE),"")</f>
      </c>
      <c r="P29" t="str">
        <v>2026-09-07</v>
      </c>
      <c r="Q29">
        <f>IF($M29="",$I29,$M29)</f>
      </c>
      <c r="R29" t="str">
        <v/>
      </c>
    </row>
    <row r="30">
      <c r="A30" t="str">
        <v>S0029</v>
      </c>
      <c r="B30" t="str">
        <v>PB-004</v>
      </c>
      <c r="C30" t="str">
        <v>Callum john Kemp</v>
      </c>
      <c r="D30" t="str">
        <v>2026-09-11</v>
      </c>
      <c r="E30" t="str">
        <v>Fri</v>
      </c>
      <c r="F30" t="str">
        <v>17:00</v>
      </c>
      <c r="G30" t="str">
        <v>00:00</v>
      </c>
      <c r="H30">
        <v>30</v>
      </c>
      <c r="I30">
        <f>IF(OR($F30="",$G30=""),"",ROUND(MOD(TIMEVALUE($G30)-TIMEVALUE($F30),1)*24-$H30/60,2))</f>
      </c>
      <c r="J30" t="str">
        <v>17:00</v>
      </c>
      <c r="K30" t="str">
        <v>00:00</v>
      </c>
      <c r="L30">
        <v>30</v>
      </c>
      <c r="M30">
        <f>IF(OR($J30="",$K30=""),"",ROUND(MOD(TIMEVALUE($K30)-TIMEVALUE($J30),1)*24-IF($L30="",0,$L30)/60,2))</f>
      </c>
      <c r="N30">
        <f>IFERROR(VLOOKUP($B30,Employees!$A:$F,6,FALSE),"")</f>
      </c>
      <c r="O30">
        <f>IFERROR(VLOOKUP($B30,Employees!$A:$F,5,FALSE),"")</f>
      </c>
      <c r="P30" t="str">
        <v>2026-09-07</v>
      </c>
      <c r="Q30">
        <f>IF($M30="",$I30,$M30)</f>
      </c>
      <c r="R30" t="str">
        <v/>
      </c>
    </row>
    <row r="31">
      <c r="A31" t="str">
        <v>S0030</v>
      </c>
      <c r="B31" t="str">
        <v>PB-002</v>
      </c>
      <c r="C31" t="str">
        <v>Liam Phillip Flude</v>
      </c>
      <c r="D31" t="str">
        <v>2026-09-12</v>
      </c>
      <c r="E31" t="str">
        <v>Sat</v>
      </c>
      <c r="F31" t="str">
        <v>18:00</v>
      </c>
      <c r="G31" t="str">
        <v>02:00</v>
      </c>
      <c r="H31">
        <v>30</v>
      </c>
      <c r="I31">
        <f>IF(OR($F31="",$G31=""),"",ROUND(MOD(TIMEVALUE($G31)-TIMEVALUE($F31),1)*24-$H31/60,2))</f>
      </c>
      <c r="J31" t="str">
        <v/>
      </c>
      <c r="K31" t="str">
        <v/>
      </c>
      <c r="L31" t="str">
        <v/>
      </c>
      <c r="M31">
        <f>IF(OR($J31="",$K31=""),"",ROUND(MOD(TIMEVALUE($K31)-TIMEVALUE($J31),1)*24-IF($L31="",0,$L31)/60,2))</f>
      </c>
      <c r="N31">
        <f>IFERROR(VLOOKUP($B31,Employees!$A:$F,6,FALSE),"")</f>
      </c>
      <c r="O31">
        <f>IFERROR(VLOOKUP($B31,Employees!$A:$F,5,FALSE),"")</f>
      </c>
      <c r="P31" t="str">
        <v>2026-09-07</v>
      </c>
      <c r="Q31">
        <f>IF($M31="",$I31,$M31)</f>
      </c>
      <c r="R31" t="str">
        <v/>
      </c>
    </row>
    <row r="32">
      <c r="A32" t="str">
        <v>S0031</v>
      </c>
      <c r="B32" t="str">
        <v>PB-003</v>
      </c>
      <c r="C32" t="str">
        <v>Shiva Kumar Pulapati</v>
      </c>
      <c r="D32" t="str">
        <v>2026-09-12</v>
      </c>
      <c r="E32" t="str">
        <v>Sat</v>
      </c>
      <c r="F32" t="str">
        <v>12:00</v>
      </c>
      <c r="G32" t="str">
        <v>20:30</v>
      </c>
      <c r="H32">
        <v>45</v>
      </c>
      <c r="I32">
        <f>IF(OR($F32="",$G32=""),"",ROUND(MOD(TIMEVALUE($G32)-TIMEVALUE($F32),1)*24-$H32/60,2))</f>
      </c>
      <c r="J32" t="str">
        <v/>
      </c>
      <c r="K32" t="str">
        <v/>
      </c>
      <c r="L32" t="str">
        <v/>
      </c>
      <c r="M32">
        <f>IF(OR($J32="",$K32=""),"",ROUND(MOD(TIMEVALUE($K32)-TIMEVALUE($J32),1)*24-IF($L32="",0,$L32)/60,2))</f>
      </c>
      <c r="N32">
        <f>IFERROR(VLOOKUP($B32,Employees!$A:$F,6,FALSE),"")</f>
      </c>
      <c r="O32">
        <f>IFERROR(VLOOKUP($B32,Employees!$A:$F,5,FALSE),"")</f>
      </c>
      <c r="P32" t="str">
        <v>2026-09-07</v>
      </c>
      <c r="Q32">
        <f>IF($M32="",$I32,$M32)</f>
      </c>
      <c r="R32" t="str">
        <v/>
      </c>
    </row>
    <row r="33">
      <c r="A33" t="str">
        <v>S0032</v>
      </c>
      <c r="B33" t="str">
        <v>PB-004</v>
      </c>
      <c r="C33" t="str">
        <v>Callum john Kemp</v>
      </c>
      <c r="D33" t="str">
        <v>2026-09-12</v>
      </c>
      <c r="E33" t="str">
        <v>Sat</v>
      </c>
      <c r="F33" t="str">
        <v>17:00</v>
      </c>
      <c r="G33" t="str">
        <v>00:00</v>
      </c>
      <c r="H33">
        <v>30</v>
      </c>
      <c r="I33">
        <f>IF(OR($F33="",$G33=""),"",ROUND(MOD(TIMEVALUE($G33)-TIMEVALUE($F33),1)*24-$H33/60,2))</f>
      </c>
      <c r="J33" t="str">
        <v/>
      </c>
      <c r="K33" t="str">
        <v/>
      </c>
      <c r="L33" t="str">
        <v/>
      </c>
      <c r="M33">
        <f>IF(OR($J33="",$K33=""),"",ROUND(MOD(TIMEVALUE($K33)-TIMEVALUE($J33),1)*24-IF($L33="",0,$L33)/60,2))</f>
      </c>
      <c r="N33">
        <f>IFERROR(VLOOKUP($B33,Employees!$A:$F,6,FALSE),"")</f>
      </c>
      <c r="O33">
        <f>IFERROR(VLOOKUP($B33,Employees!$A:$F,5,FALSE),"")</f>
      </c>
      <c r="P33" t="str">
        <v>2026-09-07</v>
      </c>
      <c r="Q33">
        <f>IF($M33="",$I33,$M33)</f>
      </c>
      <c r="R33" t="str">
        <v/>
      </c>
    </row>
    <row r="34">
      <c r="A34" t="str">
        <v>S0033</v>
      </c>
      <c r="B34" t="str">
        <v>PB-004</v>
      </c>
      <c r="C34" t="str">
        <v>Callum john Kemp</v>
      </c>
      <c r="D34" t="str">
        <v>2026-09-13</v>
      </c>
      <c r="E34" t="str">
        <v>Sun</v>
      </c>
      <c r="F34" t="str">
        <v>17:00</v>
      </c>
      <c r="G34" t="str">
        <v>00:00</v>
      </c>
      <c r="H34">
        <v>30</v>
      </c>
      <c r="I34">
        <f>IF(OR($F34="",$G34=""),"",ROUND(MOD(TIMEVALUE($G34)-TIMEVALUE($F34),1)*24-$H34/60,2))</f>
      </c>
      <c r="J34" t="str">
        <v/>
      </c>
      <c r="K34" t="str">
        <v/>
      </c>
      <c r="L34" t="str">
        <v/>
      </c>
      <c r="M34">
        <f>IF(OR($J34="",$K34=""),"",ROUND(MOD(TIMEVALUE($K34)-TIMEVALUE($J34),1)*24-IF($L34="",0,$L34)/60,2))</f>
      </c>
      <c r="N34">
        <f>IFERROR(VLOOKUP($B34,Employees!$A:$F,6,FALSE),"")</f>
      </c>
      <c r="O34">
        <f>IFERROR(VLOOKUP($B34,Employees!$A:$F,5,FALSE),"")</f>
      </c>
      <c r="P34" t="str">
        <v>2026-09-07</v>
      </c>
      <c r="Q34">
        <f>IF($M34="",$I34,$M34)</f>
      </c>
      <c r="R34" t="str">
        <v/>
      </c>
    </row>
    <row r="35">
      <c r="A35" t="str">
        <v>S0034</v>
      </c>
      <c r="B35" t="str">
        <v>PB-001</v>
      </c>
      <c r="C35" t="str">
        <v>Tulsi Jagtap Surendra</v>
      </c>
      <c r="D35" t="str">
        <v>2026-09-14</v>
      </c>
      <c r="E35" t="str">
        <v>Mon</v>
      </c>
      <c r="F35" t="str">
        <v>10:00</v>
      </c>
      <c r="G35" t="str">
        <v>18:00</v>
      </c>
      <c r="H35">
        <v>45</v>
      </c>
      <c r="I35">
        <f>IF(OR($F35="",$G35=""),"",ROUND(MOD(TIMEVALUE($G35)-TIMEVALUE($F35),1)*24-$H35/60,2))</f>
      </c>
      <c r="J35" t="str">
        <v/>
      </c>
      <c r="K35" t="str">
        <v/>
      </c>
      <c r="L35" t="str">
        <v/>
      </c>
      <c r="M35">
        <f>IF(OR($J35="",$K35=""),"",ROUND(MOD(TIMEVALUE($K35)-TIMEVALUE($J35),1)*24-IF($L35="",0,$L35)/60,2))</f>
      </c>
      <c r="N35">
        <f>IFERROR(VLOOKUP($B35,Employees!$A:$F,6,FALSE),"")</f>
      </c>
      <c r="O35">
        <f>IFERROR(VLOOKUP($B35,Employees!$A:$F,5,FALSE),"")</f>
      </c>
      <c r="P35" t="str">
        <v>2026-09-14</v>
      </c>
      <c r="Q35">
        <f>IF($M35="",$I35,$M35)</f>
      </c>
      <c r="R35" t="str">
        <v/>
      </c>
    </row>
    <row r="36">
      <c r="A36" t="str">
        <v>S0035</v>
      </c>
      <c r="B36" t="str">
        <v>PB-001</v>
      </c>
      <c r="C36" t="str">
        <v>Tulsi Jagtap Surendra</v>
      </c>
      <c r="D36" t="str">
        <v>2026-09-15</v>
      </c>
      <c r="E36" t="str">
        <v>Tue</v>
      </c>
      <c r="F36" t="str">
        <v>10:00</v>
      </c>
      <c r="G36" t="str">
        <v>18:00</v>
      </c>
      <c r="H36">
        <v>45</v>
      </c>
      <c r="I36">
        <f>IF(OR($F36="",$G36=""),"",ROUND(MOD(TIMEVALUE($G36)-TIMEVALUE($F36),1)*24-$H36/60,2))</f>
      </c>
      <c r="J36" t="str">
        <v/>
      </c>
      <c r="K36" t="str">
        <v/>
      </c>
      <c r="L36" t="str">
        <v/>
      </c>
      <c r="M36">
        <f>IF(OR($J36="",$K36=""),"",ROUND(MOD(TIMEVALUE($K36)-TIMEVALUE($J36),1)*24-IF($L36="",0,$L36)/60,2))</f>
      </c>
      <c r="N36">
        <f>IFERROR(VLOOKUP($B36,Employees!$A:$F,6,FALSE),"")</f>
      </c>
      <c r="O36">
        <f>IFERROR(VLOOKUP($B36,Employees!$A:$F,5,FALSE),"")</f>
      </c>
      <c r="P36" t="str">
        <v>2026-09-14</v>
      </c>
      <c r="Q36">
        <f>IF($M36="",$I36,$M36)</f>
      </c>
      <c r="R36" t="str">
        <v/>
      </c>
    </row>
    <row r="37">
      <c r="A37" t="str">
        <v>S0036</v>
      </c>
      <c r="B37" t="str">
        <v>PB-003</v>
      </c>
      <c r="C37" t="str">
        <v>Shiva Kumar Pulapati</v>
      </c>
      <c r="D37" t="str">
        <v>2026-09-15</v>
      </c>
      <c r="E37" t="str">
        <v>Tue</v>
      </c>
      <c r="F37" t="str">
        <v>12:00</v>
      </c>
      <c r="G37" t="str">
        <v>20:30</v>
      </c>
      <c r="H37">
        <v>45</v>
      </c>
      <c r="I37">
        <f>IF(OR($F37="",$G37=""),"",ROUND(MOD(TIMEVALUE($G37)-TIMEVALUE($F37),1)*24-$H37/60,2))</f>
      </c>
      <c r="J37" t="str">
        <v/>
      </c>
      <c r="K37" t="str">
        <v/>
      </c>
      <c r="L37" t="str">
        <v/>
      </c>
      <c r="M37">
        <f>IF(OR($J37="",$K37=""),"",ROUND(MOD(TIMEVALUE($K37)-TIMEVALUE($J37),1)*24-IF($L37="",0,$L37)/60,2))</f>
      </c>
      <c r="N37">
        <f>IFERROR(VLOOKUP($B37,Employees!$A:$F,6,FALSE),"")</f>
      </c>
      <c r="O37">
        <f>IFERROR(VLOOKUP($B37,Employees!$A:$F,5,FALSE),"")</f>
      </c>
      <c r="P37" t="str">
        <v>2026-09-14</v>
      </c>
      <c r="Q37">
        <f>IF($M37="",$I37,$M37)</f>
      </c>
      <c r="R37" t="str">
        <v/>
      </c>
    </row>
    <row r="38">
      <c r="A38" t="str">
        <v>S0037</v>
      </c>
      <c r="B38" t="str">
        <v>PB-001</v>
      </c>
      <c r="C38" t="str">
        <v>Tulsi Jagtap Surendra</v>
      </c>
      <c r="D38" t="str">
        <v>2026-09-16</v>
      </c>
      <c r="E38" t="str">
        <v>Wed</v>
      </c>
      <c r="F38" t="str">
        <v>10:00</v>
      </c>
      <c r="G38" t="str">
        <v>18:00</v>
      </c>
      <c r="H38">
        <v>45</v>
      </c>
      <c r="I38">
        <f>IF(OR($F38="",$G38=""),"",ROUND(MOD(TIMEVALUE($G38)-TIMEVALUE($F38),1)*24-$H38/60,2))</f>
      </c>
      <c r="J38" t="str">
        <v/>
      </c>
      <c r="K38" t="str">
        <v/>
      </c>
      <c r="L38" t="str">
        <v/>
      </c>
      <c r="M38">
        <f>IF(OR($J38="",$K38=""),"",ROUND(MOD(TIMEVALUE($K38)-TIMEVALUE($J38),1)*24-IF($L38="",0,$L38)/60,2))</f>
      </c>
      <c r="N38">
        <f>IFERROR(VLOOKUP($B38,Employees!$A:$F,6,FALSE),"")</f>
      </c>
      <c r="O38">
        <f>IFERROR(VLOOKUP($B38,Employees!$A:$F,5,FALSE),"")</f>
      </c>
      <c r="P38" t="str">
        <v>2026-09-14</v>
      </c>
      <c r="Q38">
        <f>IF($M38="",$I38,$M38)</f>
      </c>
      <c r="R38" t="str">
        <v/>
      </c>
    </row>
    <row r="39">
      <c r="A39" t="str">
        <v>S0038</v>
      </c>
      <c r="B39" t="str">
        <v>PB-003</v>
      </c>
      <c r="C39" t="str">
        <v>Shiva Kumar Pulapati</v>
      </c>
      <c r="D39" t="str">
        <v>2026-09-16</v>
      </c>
      <c r="E39" t="str">
        <v>Wed</v>
      </c>
      <c r="F39" t="str">
        <v>12:00</v>
      </c>
      <c r="G39" t="str">
        <v>20:30</v>
      </c>
      <c r="H39">
        <v>45</v>
      </c>
      <c r="I39">
        <f>IF(OR($F39="",$G39=""),"",ROUND(MOD(TIMEVALUE($G39)-TIMEVALUE($F39),1)*24-$H39/60,2))</f>
      </c>
      <c r="J39" t="str">
        <v/>
      </c>
      <c r="K39" t="str">
        <v/>
      </c>
      <c r="L39" t="str">
        <v/>
      </c>
      <c r="M39">
        <f>IF(OR($J39="",$K39=""),"",ROUND(MOD(TIMEVALUE($K39)-TIMEVALUE($J39),1)*24-IF($L39="",0,$L39)/60,2))</f>
      </c>
      <c r="N39">
        <f>IFERROR(VLOOKUP($B39,Employees!$A:$F,6,FALSE),"")</f>
      </c>
      <c r="O39">
        <f>IFERROR(VLOOKUP($B39,Employees!$A:$F,5,FALSE),"")</f>
      </c>
      <c r="P39" t="str">
        <v>2026-09-14</v>
      </c>
      <c r="Q39">
        <f>IF($M39="",$I39,$M39)</f>
      </c>
      <c r="R39" t="str">
        <v/>
      </c>
    </row>
    <row r="40">
      <c r="A40" t="str">
        <v>S0039</v>
      </c>
      <c r="B40" t="str">
        <v>PB-001</v>
      </c>
      <c r="C40" t="str">
        <v>Tulsi Jagtap Surendra</v>
      </c>
      <c r="D40" t="str">
        <v>2026-09-17</v>
      </c>
      <c r="E40" t="str">
        <v>Thu</v>
      </c>
      <c r="F40" t="str">
        <v>10:00</v>
      </c>
      <c r="G40" t="str">
        <v>18:00</v>
      </c>
      <c r="H40">
        <v>45</v>
      </c>
      <c r="I40">
        <f>IF(OR($F40="",$G40=""),"",ROUND(MOD(TIMEVALUE($G40)-TIMEVALUE($F40),1)*24-$H40/60,2))</f>
      </c>
      <c r="J40" t="str">
        <v/>
      </c>
      <c r="K40" t="str">
        <v/>
      </c>
      <c r="L40" t="str">
        <v/>
      </c>
      <c r="M40">
        <f>IF(OR($J40="",$K40=""),"",ROUND(MOD(TIMEVALUE($K40)-TIMEVALUE($J40),1)*24-IF($L40="",0,$L40)/60,2))</f>
      </c>
      <c r="N40">
        <f>IFERROR(VLOOKUP($B40,Employees!$A:$F,6,FALSE),"")</f>
      </c>
      <c r="O40">
        <f>IFERROR(VLOOKUP($B40,Employees!$A:$F,5,FALSE),"")</f>
      </c>
      <c r="P40" t="str">
        <v>2026-09-14</v>
      </c>
      <c r="Q40">
        <f>IF($M40="",$I40,$M40)</f>
      </c>
      <c r="R40" t="str">
        <v/>
      </c>
    </row>
    <row r="41">
      <c r="A41" t="str">
        <v>S0040</v>
      </c>
      <c r="B41" t="str">
        <v>PB-002</v>
      </c>
      <c r="C41" t="str">
        <v>Liam Phillip Flude</v>
      </c>
      <c r="D41" t="str">
        <v>2026-09-17</v>
      </c>
      <c r="E41" t="str">
        <v>Thu</v>
      </c>
      <c r="F41" t="str">
        <v>18:00</v>
      </c>
      <c r="G41" t="str">
        <v>02:00</v>
      </c>
      <c r="H41">
        <v>30</v>
      </c>
      <c r="I41">
        <f>IF(OR($F41="",$G41=""),"",ROUND(MOD(TIMEVALUE($G41)-TIMEVALUE($F41),1)*24-$H41/60,2))</f>
      </c>
      <c r="J41" t="str">
        <v/>
      </c>
      <c r="K41" t="str">
        <v/>
      </c>
      <c r="L41" t="str">
        <v/>
      </c>
      <c r="M41">
        <f>IF(OR($J41="",$K41=""),"",ROUND(MOD(TIMEVALUE($K41)-TIMEVALUE($J41),1)*24-IF($L41="",0,$L41)/60,2))</f>
      </c>
      <c r="N41">
        <f>IFERROR(VLOOKUP($B41,Employees!$A:$F,6,FALSE),"")</f>
      </c>
      <c r="O41">
        <f>IFERROR(VLOOKUP($B41,Employees!$A:$F,5,FALSE),"")</f>
      </c>
      <c r="P41" t="str">
        <v>2026-09-14</v>
      </c>
      <c r="Q41">
        <f>IF($M41="",$I41,$M41)</f>
      </c>
      <c r="R41" t="str">
        <v/>
      </c>
    </row>
    <row r="42">
      <c r="A42" t="str">
        <v>S0041</v>
      </c>
      <c r="B42" t="str">
        <v>PB-003</v>
      </c>
      <c r="C42" t="str">
        <v>Shiva Kumar Pulapati</v>
      </c>
      <c r="D42" t="str">
        <v>2026-09-17</v>
      </c>
      <c r="E42" t="str">
        <v>Thu</v>
      </c>
      <c r="F42" t="str">
        <v>12:00</v>
      </c>
      <c r="G42" t="str">
        <v>20:30</v>
      </c>
      <c r="H42">
        <v>45</v>
      </c>
      <c r="I42">
        <f>IF(OR($F42="",$G42=""),"",ROUND(MOD(TIMEVALUE($G42)-TIMEVALUE($F42),1)*24-$H42/60,2))</f>
      </c>
      <c r="J42" t="str">
        <v/>
      </c>
      <c r="K42" t="str">
        <v/>
      </c>
      <c r="L42" t="str">
        <v/>
      </c>
      <c r="M42">
        <f>IF(OR($J42="",$K42=""),"",ROUND(MOD(TIMEVALUE($K42)-TIMEVALUE($J42),1)*24-IF($L42="",0,$L42)/60,2))</f>
      </c>
      <c r="N42">
        <f>IFERROR(VLOOKUP($B42,Employees!$A:$F,6,FALSE),"")</f>
      </c>
      <c r="O42">
        <f>IFERROR(VLOOKUP($B42,Employees!$A:$F,5,FALSE),"")</f>
      </c>
      <c r="P42" t="str">
        <v>2026-09-14</v>
      </c>
      <c r="Q42">
        <f>IF($M42="",$I42,$M42)</f>
      </c>
      <c r="R42" t="str">
        <v/>
      </c>
    </row>
    <row r="43">
      <c r="A43" t="str">
        <v>S0042</v>
      </c>
      <c r="B43" t="str">
        <v>PB-001</v>
      </c>
      <c r="C43" t="str">
        <v>Tulsi Jagtap Surendra</v>
      </c>
      <c r="D43" t="str">
        <v>2026-09-18</v>
      </c>
      <c r="E43" t="str">
        <v>Fri</v>
      </c>
      <c r="F43" t="str">
        <v>10:00</v>
      </c>
      <c r="G43" t="str">
        <v>18:00</v>
      </c>
      <c r="H43">
        <v>45</v>
      </c>
      <c r="I43">
        <f>IF(OR($F43="",$G43=""),"",ROUND(MOD(TIMEVALUE($G43)-TIMEVALUE($F43),1)*24-$H43/60,2))</f>
      </c>
      <c r="J43" t="str">
        <v/>
      </c>
      <c r="K43" t="str">
        <v/>
      </c>
      <c r="L43" t="str">
        <v/>
      </c>
      <c r="M43">
        <f>IF(OR($J43="",$K43=""),"",ROUND(MOD(TIMEVALUE($K43)-TIMEVALUE($J43),1)*24-IF($L43="",0,$L43)/60,2))</f>
      </c>
      <c r="N43">
        <f>IFERROR(VLOOKUP($B43,Employees!$A:$F,6,FALSE),"")</f>
      </c>
      <c r="O43">
        <f>IFERROR(VLOOKUP($B43,Employees!$A:$F,5,FALSE),"")</f>
      </c>
      <c r="P43" t="str">
        <v>2026-09-14</v>
      </c>
      <c r="Q43">
        <f>IF($M43="",$I43,$M43)</f>
      </c>
      <c r="R43" t="str">
        <v/>
      </c>
    </row>
    <row r="44">
      <c r="A44" t="str">
        <v>S0043</v>
      </c>
      <c r="B44" t="str">
        <v>PB-002</v>
      </c>
      <c r="C44" t="str">
        <v>Liam Phillip Flude</v>
      </c>
      <c r="D44" t="str">
        <v>2026-09-18</v>
      </c>
      <c r="E44" t="str">
        <v>Fri</v>
      </c>
      <c r="F44" t="str">
        <v>18:00</v>
      </c>
      <c r="G44" t="str">
        <v>02:00</v>
      </c>
      <c r="H44">
        <v>30</v>
      </c>
      <c r="I44">
        <f>IF(OR($F44="",$G44=""),"",ROUND(MOD(TIMEVALUE($G44)-TIMEVALUE($F44),1)*24-$H44/60,2))</f>
      </c>
      <c r="J44" t="str">
        <v/>
      </c>
      <c r="K44" t="str">
        <v/>
      </c>
      <c r="L44" t="str">
        <v/>
      </c>
      <c r="M44">
        <f>IF(OR($J44="",$K44=""),"",ROUND(MOD(TIMEVALUE($K44)-TIMEVALUE($J44),1)*24-IF($L44="",0,$L44)/60,2))</f>
      </c>
      <c r="N44">
        <f>IFERROR(VLOOKUP($B44,Employees!$A:$F,6,FALSE),"")</f>
      </c>
      <c r="O44">
        <f>IFERROR(VLOOKUP($B44,Employees!$A:$F,5,FALSE),"")</f>
      </c>
      <c r="P44" t="str">
        <v>2026-09-14</v>
      </c>
      <c r="Q44">
        <f>IF($M44="",$I44,$M44)</f>
      </c>
      <c r="R44" t="str">
        <v/>
      </c>
    </row>
    <row r="45">
      <c r="A45" t="str">
        <v>S0044</v>
      </c>
      <c r="B45" t="str">
        <v>PB-003</v>
      </c>
      <c r="C45" t="str">
        <v>Shiva Kumar Pulapati</v>
      </c>
      <c r="D45" t="str">
        <v>2026-09-18</v>
      </c>
      <c r="E45" t="str">
        <v>Fri</v>
      </c>
      <c r="F45" t="str">
        <v>12:00</v>
      </c>
      <c r="G45" t="str">
        <v>20:30</v>
      </c>
      <c r="H45">
        <v>45</v>
      </c>
      <c r="I45">
        <f>IF(OR($F45="",$G45=""),"",ROUND(MOD(TIMEVALUE($G45)-TIMEVALUE($F45),1)*24-$H45/60,2))</f>
      </c>
      <c r="J45" t="str">
        <v/>
      </c>
      <c r="K45" t="str">
        <v/>
      </c>
      <c r="L45" t="str">
        <v/>
      </c>
      <c r="M45">
        <f>IF(OR($J45="",$K45=""),"",ROUND(MOD(TIMEVALUE($K45)-TIMEVALUE($J45),1)*24-IF($L45="",0,$L45)/60,2))</f>
      </c>
      <c r="N45">
        <f>IFERROR(VLOOKUP($B45,Employees!$A:$F,6,FALSE),"")</f>
      </c>
      <c r="O45">
        <f>IFERROR(VLOOKUP($B45,Employees!$A:$F,5,FALSE),"")</f>
      </c>
      <c r="P45" t="str">
        <v>2026-09-14</v>
      </c>
      <c r="Q45">
        <f>IF($M45="",$I45,$M45)</f>
      </c>
      <c r="R45" t="str">
        <v/>
      </c>
    </row>
    <row r="46">
      <c r="A46" t="str">
        <v>S0045</v>
      </c>
      <c r="B46" t="str">
        <v>PB-004</v>
      </c>
      <c r="C46" t="str">
        <v>Callum john Kemp</v>
      </c>
      <c r="D46" t="str">
        <v>2026-09-18</v>
      </c>
      <c r="E46" t="str">
        <v>Fri</v>
      </c>
      <c r="F46" t="str">
        <v>17:00</v>
      </c>
      <c r="G46" t="str">
        <v>00:00</v>
      </c>
      <c r="H46">
        <v>30</v>
      </c>
      <c r="I46">
        <f>IF(OR($F46="",$G46=""),"",ROUND(MOD(TIMEVALUE($G46)-TIMEVALUE($F46),1)*24-$H46/60,2))</f>
      </c>
      <c r="J46" t="str">
        <v/>
      </c>
      <c r="K46" t="str">
        <v/>
      </c>
      <c r="L46" t="str">
        <v/>
      </c>
      <c r="M46">
        <f>IF(OR($J46="",$K46=""),"",ROUND(MOD(TIMEVALUE($K46)-TIMEVALUE($J46),1)*24-IF($L46="",0,$L46)/60,2))</f>
      </c>
      <c r="N46">
        <f>IFERROR(VLOOKUP($B46,Employees!$A:$F,6,FALSE),"")</f>
      </c>
      <c r="O46">
        <f>IFERROR(VLOOKUP($B46,Employees!$A:$F,5,FALSE),"")</f>
      </c>
      <c r="P46" t="str">
        <v>2026-09-14</v>
      </c>
      <c r="Q46">
        <f>IF($M46="",$I46,$M46)</f>
      </c>
      <c r="R46" t="str">
        <v/>
      </c>
    </row>
    <row r="47">
      <c r="A47" t="str">
        <v>S0046</v>
      </c>
      <c r="B47" t="str">
        <v>PB-002</v>
      </c>
      <c r="C47" t="str">
        <v>Liam Phillip Flude</v>
      </c>
      <c r="D47" t="str">
        <v>2026-09-19</v>
      </c>
      <c r="E47" t="str">
        <v>Sat</v>
      </c>
      <c r="F47" t="str">
        <v>18:00</v>
      </c>
      <c r="G47" t="str">
        <v>02:00</v>
      </c>
      <c r="H47">
        <v>30</v>
      </c>
      <c r="I47">
        <f>IF(OR($F47="",$G47=""),"",ROUND(MOD(TIMEVALUE($G47)-TIMEVALUE($F47),1)*24-$H47/60,2))</f>
      </c>
      <c r="J47" t="str">
        <v/>
      </c>
      <c r="K47" t="str">
        <v/>
      </c>
      <c r="L47" t="str">
        <v/>
      </c>
      <c r="M47">
        <f>IF(OR($J47="",$K47=""),"",ROUND(MOD(TIMEVALUE($K47)-TIMEVALUE($J47),1)*24-IF($L47="",0,$L47)/60,2))</f>
      </c>
      <c r="N47">
        <f>IFERROR(VLOOKUP($B47,Employees!$A:$F,6,FALSE),"")</f>
      </c>
      <c r="O47">
        <f>IFERROR(VLOOKUP($B47,Employees!$A:$F,5,FALSE),"")</f>
      </c>
      <c r="P47" t="str">
        <v>2026-09-14</v>
      </c>
      <c r="Q47">
        <f>IF($M47="",$I47,$M47)</f>
      </c>
      <c r="R47" t="str">
        <v/>
      </c>
    </row>
    <row r="48">
      <c r="A48" t="str">
        <v>S0047</v>
      </c>
      <c r="B48" t="str">
        <v>PB-003</v>
      </c>
      <c r="C48" t="str">
        <v>Shiva Kumar Pulapati</v>
      </c>
      <c r="D48" t="str">
        <v>2026-09-19</v>
      </c>
      <c r="E48" t="str">
        <v>Sat</v>
      </c>
      <c r="F48" t="str">
        <v>12:00</v>
      </c>
      <c r="G48" t="str">
        <v>20:30</v>
      </c>
      <c r="H48">
        <v>45</v>
      </c>
      <c r="I48">
        <f>IF(OR($F48="",$G48=""),"",ROUND(MOD(TIMEVALUE($G48)-TIMEVALUE($F48),1)*24-$H48/60,2))</f>
      </c>
      <c r="J48" t="str">
        <v/>
      </c>
      <c r="K48" t="str">
        <v/>
      </c>
      <c r="L48" t="str">
        <v/>
      </c>
      <c r="M48">
        <f>IF(OR($J48="",$K48=""),"",ROUND(MOD(TIMEVALUE($K48)-TIMEVALUE($J48),1)*24-IF($L48="",0,$L48)/60,2))</f>
      </c>
      <c r="N48">
        <f>IFERROR(VLOOKUP($B48,Employees!$A:$F,6,FALSE),"")</f>
      </c>
      <c r="O48">
        <f>IFERROR(VLOOKUP($B48,Employees!$A:$F,5,FALSE),"")</f>
      </c>
      <c r="P48" t="str">
        <v>2026-09-14</v>
      </c>
      <c r="Q48">
        <f>IF($M48="",$I48,$M48)</f>
      </c>
      <c r="R48" t="str">
        <v/>
      </c>
    </row>
    <row r="49">
      <c r="A49" t="str">
        <v>S0048</v>
      </c>
      <c r="B49" t="str">
        <v>PB-004</v>
      </c>
      <c r="C49" t="str">
        <v>Callum john Kemp</v>
      </c>
      <c r="D49" t="str">
        <v>2026-09-19</v>
      </c>
      <c r="E49" t="str">
        <v>Sat</v>
      </c>
      <c r="F49" t="str">
        <v>17:00</v>
      </c>
      <c r="G49" t="str">
        <v>00:00</v>
      </c>
      <c r="H49">
        <v>30</v>
      </c>
      <c r="I49">
        <f>IF(OR($F49="",$G49=""),"",ROUND(MOD(TIMEVALUE($G49)-TIMEVALUE($F49),1)*24-$H49/60,2))</f>
      </c>
      <c r="J49" t="str">
        <v/>
      </c>
      <c r="K49" t="str">
        <v/>
      </c>
      <c r="L49" t="str">
        <v/>
      </c>
      <c r="M49">
        <f>IF(OR($J49="",$K49=""),"",ROUND(MOD(TIMEVALUE($K49)-TIMEVALUE($J49),1)*24-IF($L49="",0,$L49)/60,2))</f>
      </c>
      <c r="N49">
        <f>IFERROR(VLOOKUP($B49,Employees!$A:$F,6,FALSE),"")</f>
      </c>
      <c r="O49">
        <f>IFERROR(VLOOKUP($B49,Employees!$A:$F,5,FALSE),"")</f>
      </c>
      <c r="P49" t="str">
        <v>2026-09-14</v>
      </c>
      <c r="Q49">
        <f>IF($M49="",$I49,$M49)</f>
      </c>
      <c r="R49" t="str">
        <v/>
      </c>
    </row>
    <row r="50">
      <c r="A50" t="str">
        <v>S0049</v>
      </c>
      <c r="B50" t="str">
        <v>PB-004</v>
      </c>
      <c r="C50" t="str">
        <v>Callum john Kemp</v>
      </c>
      <c r="D50" t="str">
        <v>2026-09-20</v>
      </c>
      <c r="E50" t="str">
        <v>Sun</v>
      </c>
      <c r="F50" t="str">
        <v>17:00</v>
      </c>
      <c r="G50" t="str">
        <v>00:00</v>
      </c>
      <c r="H50">
        <v>30</v>
      </c>
      <c r="I50">
        <f>IF(OR($F50="",$G50=""),"",ROUND(MOD(TIMEVALUE($G50)-TIMEVALUE($F50),1)*24-$H50/60,2))</f>
      </c>
      <c r="J50" t="str">
        <v/>
      </c>
      <c r="K50" t="str">
        <v/>
      </c>
      <c r="L50" t="str">
        <v/>
      </c>
      <c r="M50">
        <f>IF(OR($J50="",$K50=""),"",ROUND(MOD(TIMEVALUE($K50)-TIMEVALUE($J50),1)*24-IF($L50="",0,$L50)/60,2))</f>
      </c>
      <c r="N50">
        <f>IFERROR(VLOOKUP($B50,Employees!$A:$F,6,FALSE),"")</f>
      </c>
      <c r="O50">
        <f>IFERROR(VLOOKUP($B50,Employees!$A:$F,5,FALSE),"")</f>
      </c>
      <c r="P50" t="str">
        <v>2026-09-14</v>
      </c>
      <c r="Q50">
        <f>IF($M50="",$I50,$M50)</f>
      </c>
      <c r="R50" t="str">
        <v/>
      </c>
    </row>
  </sheetData>
  <autoFilter ref="A1:R50"/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18.83203125" customWidth="1"/>
    <col min="2" max="2" width="12.83203125" customWidth="1"/>
    <col min="3" max="3" width="7.83203125" customWidth="1"/>
    <col min="4" max="4" width="16.83203125" customWidth="1"/>
    <col min="5" max="5" width="14.83203125" customWidth="1"/>
    <col min="6" max="6" width="11.83203125" customWidth="1"/>
    <col min="7" max="7" width="12.83203125" customWidth="1"/>
  </cols>
  <sheetData>
    <row r="1">
      <c r="A1" t="str">
        <v>Employee</v>
      </c>
      <c r="B1" t="str">
        <v>Date</v>
      </c>
      <c r="C1" t="str">
        <v>Day</v>
      </c>
      <c r="D1" t="str">
        <v>Scheduled Hours</v>
      </c>
      <c r="E1" t="str">
        <v>Actual Hours</v>
      </c>
      <c r="F1" t="str">
        <v>Variance</v>
      </c>
      <c r="G1" t="str">
        <v>Paid Hours</v>
      </c>
    </row>
    <row r="2">
      <c r="A2">
        <f>Rota!$C2</f>
      </c>
      <c r="B2">
        <f>Rota!$D2</f>
      </c>
      <c r="C2">
        <f>Rota!$E2</f>
      </c>
      <c r="D2">
        <f>Rota!$I2</f>
      </c>
      <c r="E2">
        <f>Rota!$M2</f>
      </c>
      <c r="F2">
        <f>IF(OR(Rota!$I2="",Rota!$M2=""),"",ROUND(Rota!$M2-Rota!$I2,2))</f>
      </c>
      <c r="G2">
        <f>Rota!$Q2</f>
      </c>
    </row>
    <row r="3">
      <c r="A3">
        <f>Rota!$C3</f>
      </c>
      <c r="B3">
        <f>Rota!$D3</f>
      </c>
      <c r="C3">
        <f>Rota!$E3</f>
      </c>
      <c r="D3">
        <f>Rota!$I3</f>
      </c>
      <c r="E3">
        <f>Rota!$M3</f>
      </c>
      <c r="F3">
        <f>IF(OR(Rota!$I3="",Rota!$M3=""),"",ROUND(Rota!$M3-Rota!$I3,2))</f>
      </c>
      <c r="G3">
        <f>Rota!$Q3</f>
      </c>
    </row>
    <row r="4">
      <c r="A4">
        <f>Rota!$C4</f>
      </c>
      <c r="B4">
        <f>Rota!$D4</f>
      </c>
      <c r="C4">
        <f>Rota!$E4</f>
      </c>
      <c r="D4">
        <f>Rota!$I4</f>
      </c>
      <c r="E4">
        <f>Rota!$M4</f>
      </c>
      <c r="F4">
        <f>IF(OR(Rota!$I4="",Rota!$M4=""),"",ROUND(Rota!$M4-Rota!$I4,2))</f>
      </c>
      <c r="G4">
        <f>Rota!$Q4</f>
      </c>
    </row>
    <row r="5">
      <c r="A5">
        <f>Rota!$C5</f>
      </c>
      <c r="B5">
        <f>Rota!$D5</f>
      </c>
      <c r="C5">
        <f>Rota!$E5</f>
      </c>
      <c r="D5">
        <f>Rota!$I5</f>
      </c>
      <c r="E5">
        <f>Rota!$M5</f>
      </c>
      <c r="F5">
        <f>IF(OR(Rota!$I5="",Rota!$M5=""),"",ROUND(Rota!$M5-Rota!$I5,2))</f>
      </c>
      <c r="G5">
        <f>Rota!$Q5</f>
      </c>
    </row>
    <row r="6">
      <c r="A6">
        <f>Rota!$C6</f>
      </c>
      <c r="B6">
        <f>Rota!$D6</f>
      </c>
      <c r="C6">
        <f>Rota!$E6</f>
      </c>
      <c r="D6">
        <f>Rota!$I6</f>
      </c>
      <c r="E6">
        <f>Rota!$M6</f>
      </c>
      <c r="F6">
        <f>IF(OR(Rota!$I6="",Rota!$M6=""),"",ROUND(Rota!$M6-Rota!$I6,2))</f>
      </c>
      <c r="G6">
        <f>Rota!$Q6</f>
      </c>
    </row>
    <row r="7">
      <c r="A7">
        <f>Rota!$C7</f>
      </c>
      <c r="B7">
        <f>Rota!$D7</f>
      </c>
      <c r="C7">
        <f>Rota!$E7</f>
      </c>
      <c r="D7">
        <f>Rota!$I7</f>
      </c>
      <c r="E7">
        <f>Rota!$M7</f>
      </c>
      <c r="F7">
        <f>IF(OR(Rota!$I7="",Rota!$M7=""),"",ROUND(Rota!$M7-Rota!$I7,2))</f>
      </c>
      <c r="G7">
        <f>Rota!$Q7</f>
      </c>
    </row>
    <row r="8">
      <c r="A8">
        <f>Rota!$C8</f>
      </c>
      <c r="B8">
        <f>Rota!$D8</f>
      </c>
      <c r="C8">
        <f>Rota!$E8</f>
      </c>
      <c r="D8">
        <f>Rota!$I8</f>
      </c>
      <c r="E8">
        <f>Rota!$M8</f>
      </c>
      <c r="F8">
        <f>IF(OR(Rota!$I8="",Rota!$M8=""),"",ROUND(Rota!$M8-Rota!$I8,2))</f>
      </c>
      <c r="G8">
        <f>Rota!$Q8</f>
      </c>
    </row>
    <row r="9">
      <c r="A9">
        <f>Rota!$C9</f>
      </c>
      <c r="B9">
        <f>Rota!$D9</f>
      </c>
      <c r="C9">
        <f>Rota!$E9</f>
      </c>
      <c r="D9">
        <f>Rota!$I9</f>
      </c>
      <c r="E9">
        <f>Rota!$M9</f>
      </c>
      <c r="F9">
        <f>IF(OR(Rota!$I9="",Rota!$M9=""),"",ROUND(Rota!$M9-Rota!$I9,2))</f>
      </c>
      <c r="G9">
        <f>Rota!$Q9</f>
      </c>
    </row>
    <row r="10">
      <c r="A10">
        <f>Rota!$C10</f>
      </c>
      <c r="B10">
        <f>Rota!$D10</f>
      </c>
      <c r="C10">
        <f>Rota!$E10</f>
      </c>
      <c r="D10">
        <f>Rota!$I10</f>
      </c>
      <c r="E10">
        <f>Rota!$M10</f>
      </c>
      <c r="F10">
        <f>IF(OR(Rota!$I10="",Rota!$M10=""),"",ROUND(Rota!$M10-Rota!$I10,2))</f>
      </c>
      <c r="G10">
        <f>Rota!$Q10</f>
      </c>
    </row>
    <row r="11">
      <c r="A11">
        <f>Rota!$C11</f>
      </c>
      <c r="B11">
        <f>Rota!$D11</f>
      </c>
      <c r="C11">
        <f>Rota!$E11</f>
      </c>
      <c r="D11">
        <f>Rota!$I11</f>
      </c>
      <c r="E11">
        <f>Rota!$M11</f>
      </c>
      <c r="F11">
        <f>IF(OR(Rota!$I11="",Rota!$M11=""),"",ROUND(Rota!$M11-Rota!$I11,2))</f>
      </c>
      <c r="G11">
        <f>Rota!$Q11</f>
      </c>
    </row>
    <row r="12">
      <c r="A12">
        <f>Rota!$C12</f>
      </c>
      <c r="B12">
        <f>Rota!$D12</f>
      </c>
      <c r="C12">
        <f>Rota!$E12</f>
      </c>
      <c r="D12">
        <f>Rota!$I12</f>
      </c>
      <c r="E12">
        <f>Rota!$M12</f>
      </c>
      <c r="F12">
        <f>IF(OR(Rota!$I12="",Rota!$M12=""),"",ROUND(Rota!$M12-Rota!$I12,2))</f>
      </c>
      <c r="G12">
        <f>Rota!$Q12</f>
      </c>
    </row>
    <row r="13">
      <c r="A13">
        <f>Rota!$C13</f>
      </c>
      <c r="B13">
        <f>Rota!$D13</f>
      </c>
      <c r="C13">
        <f>Rota!$E13</f>
      </c>
      <c r="D13">
        <f>Rota!$I13</f>
      </c>
      <c r="E13">
        <f>Rota!$M13</f>
      </c>
      <c r="F13">
        <f>IF(OR(Rota!$I13="",Rota!$M13=""),"",ROUND(Rota!$M13-Rota!$I13,2))</f>
      </c>
      <c r="G13">
        <f>Rota!$Q13</f>
      </c>
    </row>
    <row r="14">
      <c r="A14">
        <f>Rota!$C14</f>
      </c>
      <c r="B14">
        <f>Rota!$D14</f>
      </c>
      <c r="C14">
        <f>Rota!$E14</f>
      </c>
      <c r="D14">
        <f>Rota!$I14</f>
      </c>
      <c r="E14">
        <f>Rota!$M14</f>
      </c>
      <c r="F14">
        <f>IF(OR(Rota!$I14="",Rota!$M14=""),"",ROUND(Rota!$M14-Rota!$I14,2))</f>
      </c>
      <c r="G14">
        <f>Rota!$Q14</f>
      </c>
    </row>
    <row r="15">
      <c r="A15">
        <f>Rota!$C15</f>
      </c>
      <c r="B15">
        <f>Rota!$D15</f>
      </c>
      <c r="C15">
        <f>Rota!$E15</f>
      </c>
      <c r="D15">
        <f>Rota!$I15</f>
      </c>
      <c r="E15">
        <f>Rota!$M15</f>
      </c>
      <c r="F15">
        <f>IF(OR(Rota!$I15="",Rota!$M15=""),"",ROUND(Rota!$M15-Rota!$I15,2))</f>
      </c>
      <c r="G15">
        <f>Rota!$Q15</f>
      </c>
    </row>
    <row r="16">
      <c r="A16">
        <f>Rota!$C16</f>
      </c>
      <c r="B16">
        <f>Rota!$D16</f>
      </c>
      <c r="C16">
        <f>Rota!$E16</f>
      </c>
      <c r="D16">
        <f>Rota!$I16</f>
      </c>
      <c r="E16">
        <f>Rota!$M16</f>
      </c>
      <c r="F16">
        <f>IF(OR(Rota!$I16="",Rota!$M16=""),"",ROUND(Rota!$M16-Rota!$I16,2))</f>
      </c>
      <c r="G16">
        <f>Rota!$Q16</f>
      </c>
    </row>
    <row r="17">
      <c r="A17">
        <f>Rota!$C17</f>
      </c>
      <c r="B17">
        <f>Rota!$D17</f>
      </c>
      <c r="C17">
        <f>Rota!$E17</f>
      </c>
      <c r="D17">
        <f>Rota!$I17</f>
      </c>
      <c r="E17">
        <f>Rota!$M17</f>
      </c>
      <c r="F17">
        <f>IF(OR(Rota!$I17="",Rota!$M17=""),"",ROUND(Rota!$M17-Rota!$I17,2))</f>
      </c>
      <c r="G17">
        <f>Rota!$Q17</f>
      </c>
    </row>
    <row r="18">
      <c r="A18">
        <f>Rota!$C18</f>
      </c>
      <c r="B18">
        <f>Rota!$D18</f>
      </c>
      <c r="C18">
        <f>Rota!$E18</f>
      </c>
      <c r="D18">
        <f>Rota!$I18</f>
      </c>
      <c r="E18">
        <f>Rota!$M18</f>
      </c>
      <c r="F18">
        <f>IF(OR(Rota!$I18="",Rota!$M18=""),"",ROUND(Rota!$M18-Rota!$I18,2))</f>
      </c>
      <c r="G18">
        <f>Rota!$Q18</f>
      </c>
    </row>
    <row r="19">
      <c r="A19">
        <f>Rota!$C19</f>
      </c>
      <c r="B19">
        <f>Rota!$D19</f>
      </c>
      <c r="C19">
        <f>Rota!$E19</f>
      </c>
      <c r="D19">
        <f>Rota!$I19</f>
      </c>
      <c r="E19">
        <f>Rota!$M19</f>
      </c>
      <c r="F19">
        <f>IF(OR(Rota!$I19="",Rota!$M19=""),"",ROUND(Rota!$M19-Rota!$I19,2))</f>
      </c>
      <c r="G19">
        <f>Rota!$Q19</f>
      </c>
    </row>
    <row r="20">
      <c r="A20">
        <f>Rota!$C20</f>
      </c>
      <c r="B20">
        <f>Rota!$D20</f>
      </c>
      <c r="C20">
        <f>Rota!$E20</f>
      </c>
      <c r="D20">
        <f>Rota!$I20</f>
      </c>
      <c r="E20">
        <f>Rota!$M20</f>
      </c>
      <c r="F20">
        <f>IF(OR(Rota!$I20="",Rota!$M20=""),"",ROUND(Rota!$M20-Rota!$I20,2))</f>
      </c>
      <c r="G20">
        <f>Rota!$Q20</f>
      </c>
    </row>
    <row r="21">
      <c r="A21">
        <f>Rota!$C21</f>
      </c>
      <c r="B21">
        <f>Rota!$D21</f>
      </c>
      <c r="C21">
        <f>Rota!$E21</f>
      </c>
      <c r="D21">
        <f>Rota!$I21</f>
      </c>
      <c r="E21">
        <f>Rota!$M21</f>
      </c>
      <c r="F21">
        <f>IF(OR(Rota!$I21="",Rota!$M21=""),"",ROUND(Rota!$M21-Rota!$I21,2))</f>
      </c>
      <c r="G21">
        <f>Rota!$Q21</f>
      </c>
    </row>
    <row r="22">
      <c r="A22">
        <f>Rota!$C22</f>
      </c>
      <c r="B22">
        <f>Rota!$D22</f>
      </c>
      <c r="C22">
        <f>Rota!$E22</f>
      </c>
      <c r="D22">
        <f>Rota!$I22</f>
      </c>
      <c r="E22">
        <f>Rota!$M22</f>
      </c>
      <c r="F22">
        <f>IF(OR(Rota!$I22="",Rota!$M22=""),"",ROUND(Rota!$M22-Rota!$I22,2))</f>
      </c>
      <c r="G22">
        <f>Rota!$Q22</f>
      </c>
    </row>
    <row r="23">
      <c r="A23">
        <f>Rota!$C23</f>
      </c>
      <c r="B23">
        <f>Rota!$D23</f>
      </c>
      <c r="C23">
        <f>Rota!$E23</f>
      </c>
      <c r="D23">
        <f>Rota!$I23</f>
      </c>
      <c r="E23">
        <f>Rota!$M23</f>
      </c>
      <c r="F23">
        <f>IF(OR(Rota!$I23="",Rota!$M23=""),"",ROUND(Rota!$M23-Rota!$I23,2))</f>
      </c>
      <c r="G23">
        <f>Rota!$Q23</f>
      </c>
    </row>
    <row r="24">
      <c r="A24">
        <f>Rota!$C24</f>
      </c>
      <c r="B24">
        <f>Rota!$D24</f>
      </c>
      <c r="C24">
        <f>Rota!$E24</f>
      </c>
      <c r="D24">
        <f>Rota!$I24</f>
      </c>
      <c r="E24">
        <f>Rota!$M24</f>
      </c>
      <c r="F24">
        <f>IF(OR(Rota!$I24="",Rota!$M24=""),"",ROUND(Rota!$M24-Rota!$I24,2))</f>
      </c>
      <c r="G24">
        <f>Rota!$Q24</f>
      </c>
    </row>
    <row r="25">
      <c r="A25">
        <f>Rota!$C25</f>
      </c>
      <c r="B25">
        <f>Rota!$D25</f>
      </c>
      <c r="C25">
        <f>Rota!$E25</f>
      </c>
      <c r="D25">
        <f>Rota!$I25</f>
      </c>
      <c r="E25">
        <f>Rota!$M25</f>
      </c>
      <c r="F25">
        <f>IF(OR(Rota!$I25="",Rota!$M25=""),"",ROUND(Rota!$M25-Rota!$I25,2))</f>
      </c>
      <c r="G25">
        <f>Rota!$Q25</f>
      </c>
    </row>
    <row r="26">
      <c r="A26">
        <f>Rota!$C26</f>
      </c>
      <c r="B26">
        <f>Rota!$D26</f>
      </c>
      <c r="C26">
        <f>Rota!$E26</f>
      </c>
      <c r="D26">
        <f>Rota!$I26</f>
      </c>
      <c r="E26">
        <f>Rota!$M26</f>
      </c>
      <c r="F26">
        <f>IF(OR(Rota!$I26="",Rota!$M26=""),"",ROUND(Rota!$M26-Rota!$I26,2))</f>
      </c>
      <c r="G26">
        <f>Rota!$Q26</f>
      </c>
    </row>
    <row r="27">
      <c r="A27">
        <f>Rota!$C27</f>
      </c>
      <c r="B27">
        <f>Rota!$D27</f>
      </c>
      <c r="C27">
        <f>Rota!$E27</f>
      </c>
      <c r="D27">
        <f>Rota!$I27</f>
      </c>
      <c r="E27">
        <f>Rota!$M27</f>
      </c>
      <c r="F27">
        <f>IF(OR(Rota!$I27="",Rota!$M27=""),"",ROUND(Rota!$M27-Rota!$I27,2))</f>
      </c>
      <c r="G27">
        <f>Rota!$Q27</f>
      </c>
    </row>
    <row r="28">
      <c r="A28">
        <f>Rota!$C28</f>
      </c>
      <c r="B28">
        <f>Rota!$D28</f>
      </c>
      <c r="C28">
        <f>Rota!$E28</f>
      </c>
      <c r="D28">
        <f>Rota!$I28</f>
      </c>
      <c r="E28">
        <f>Rota!$M28</f>
      </c>
      <c r="F28">
        <f>IF(OR(Rota!$I28="",Rota!$M28=""),"",ROUND(Rota!$M28-Rota!$I28,2))</f>
      </c>
      <c r="G28">
        <f>Rota!$Q28</f>
      </c>
    </row>
    <row r="29">
      <c r="A29">
        <f>Rota!$C29</f>
      </c>
      <c r="B29">
        <f>Rota!$D29</f>
      </c>
      <c r="C29">
        <f>Rota!$E29</f>
      </c>
      <c r="D29">
        <f>Rota!$I29</f>
      </c>
      <c r="E29">
        <f>Rota!$M29</f>
      </c>
      <c r="F29">
        <f>IF(OR(Rota!$I29="",Rota!$M29=""),"",ROUND(Rota!$M29-Rota!$I29,2))</f>
      </c>
      <c r="G29">
        <f>Rota!$Q29</f>
      </c>
    </row>
    <row r="30">
      <c r="A30">
        <f>Rota!$C30</f>
      </c>
      <c r="B30">
        <f>Rota!$D30</f>
      </c>
      <c r="C30">
        <f>Rota!$E30</f>
      </c>
      <c r="D30">
        <f>Rota!$I30</f>
      </c>
      <c r="E30">
        <f>Rota!$M30</f>
      </c>
      <c r="F30">
        <f>IF(OR(Rota!$I30="",Rota!$M30=""),"",ROUND(Rota!$M30-Rota!$I30,2))</f>
      </c>
      <c r="G30">
        <f>Rota!$Q30</f>
      </c>
    </row>
    <row r="31">
      <c r="A31">
        <f>Rota!$C31</f>
      </c>
      <c r="B31">
        <f>Rota!$D31</f>
      </c>
      <c r="C31">
        <f>Rota!$E31</f>
      </c>
      <c r="D31">
        <f>Rota!$I31</f>
      </c>
      <c r="E31">
        <f>Rota!$M31</f>
      </c>
      <c r="F31">
        <f>IF(OR(Rota!$I31="",Rota!$M31=""),"",ROUND(Rota!$M31-Rota!$I31,2))</f>
      </c>
      <c r="G31">
        <f>Rota!$Q31</f>
      </c>
    </row>
    <row r="32">
      <c r="A32">
        <f>Rota!$C32</f>
      </c>
      <c r="B32">
        <f>Rota!$D32</f>
      </c>
      <c r="C32">
        <f>Rota!$E32</f>
      </c>
      <c r="D32">
        <f>Rota!$I32</f>
      </c>
      <c r="E32">
        <f>Rota!$M32</f>
      </c>
      <c r="F32">
        <f>IF(OR(Rota!$I32="",Rota!$M32=""),"",ROUND(Rota!$M32-Rota!$I32,2))</f>
      </c>
      <c r="G32">
        <f>Rota!$Q32</f>
      </c>
    </row>
    <row r="33">
      <c r="A33">
        <f>Rota!$C33</f>
      </c>
      <c r="B33">
        <f>Rota!$D33</f>
      </c>
      <c r="C33">
        <f>Rota!$E33</f>
      </c>
      <c r="D33">
        <f>Rota!$I33</f>
      </c>
      <c r="E33">
        <f>Rota!$M33</f>
      </c>
      <c r="F33">
        <f>IF(OR(Rota!$I33="",Rota!$M33=""),"",ROUND(Rota!$M33-Rota!$I33,2))</f>
      </c>
      <c r="G33">
        <f>Rota!$Q33</f>
      </c>
    </row>
    <row r="34">
      <c r="A34">
        <f>Rota!$C34</f>
      </c>
      <c r="B34">
        <f>Rota!$D34</f>
      </c>
      <c r="C34">
        <f>Rota!$E34</f>
      </c>
      <c r="D34">
        <f>Rota!$I34</f>
      </c>
      <c r="E34">
        <f>Rota!$M34</f>
      </c>
      <c r="F34">
        <f>IF(OR(Rota!$I34="",Rota!$M34=""),"",ROUND(Rota!$M34-Rota!$I34,2))</f>
      </c>
      <c r="G34">
        <f>Rota!$Q34</f>
      </c>
    </row>
    <row r="35">
      <c r="A35">
        <f>Rota!$C35</f>
      </c>
      <c r="B35">
        <f>Rota!$D35</f>
      </c>
      <c r="C35">
        <f>Rota!$E35</f>
      </c>
      <c r="D35">
        <f>Rota!$I35</f>
      </c>
      <c r="E35">
        <f>Rota!$M35</f>
      </c>
      <c r="F35">
        <f>IF(OR(Rota!$I35="",Rota!$M35=""),"",ROUND(Rota!$M35-Rota!$I35,2))</f>
      </c>
      <c r="G35">
        <f>Rota!$Q35</f>
      </c>
    </row>
    <row r="36">
      <c r="A36">
        <f>Rota!$C36</f>
      </c>
      <c r="B36">
        <f>Rota!$D36</f>
      </c>
      <c r="C36">
        <f>Rota!$E36</f>
      </c>
      <c r="D36">
        <f>Rota!$I36</f>
      </c>
      <c r="E36">
        <f>Rota!$M36</f>
      </c>
      <c r="F36">
        <f>IF(OR(Rota!$I36="",Rota!$M36=""),"",ROUND(Rota!$M36-Rota!$I36,2))</f>
      </c>
      <c r="G36">
        <f>Rota!$Q36</f>
      </c>
    </row>
    <row r="37">
      <c r="A37">
        <f>Rota!$C37</f>
      </c>
      <c r="B37">
        <f>Rota!$D37</f>
      </c>
      <c r="C37">
        <f>Rota!$E37</f>
      </c>
      <c r="D37">
        <f>Rota!$I37</f>
      </c>
      <c r="E37">
        <f>Rota!$M37</f>
      </c>
      <c r="F37">
        <f>IF(OR(Rota!$I37="",Rota!$M37=""),"",ROUND(Rota!$M37-Rota!$I37,2))</f>
      </c>
      <c r="G37">
        <f>Rota!$Q37</f>
      </c>
    </row>
    <row r="38">
      <c r="A38">
        <f>Rota!$C38</f>
      </c>
      <c r="B38">
        <f>Rota!$D38</f>
      </c>
      <c r="C38">
        <f>Rota!$E38</f>
      </c>
      <c r="D38">
        <f>Rota!$I38</f>
      </c>
      <c r="E38">
        <f>Rota!$M38</f>
      </c>
      <c r="F38">
        <f>IF(OR(Rota!$I38="",Rota!$M38=""),"",ROUND(Rota!$M38-Rota!$I38,2))</f>
      </c>
      <c r="G38">
        <f>Rota!$Q38</f>
      </c>
    </row>
    <row r="39">
      <c r="A39">
        <f>Rota!$C39</f>
      </c>
      <c r="B39">
        <f>Rota!$D39</f>
      </c>
      <c r="C39">
        <f>Rota!$E39</f>
      </c>
      <c r="D39">
        <f>Rota!$I39</f>
      </c>
      <c r="E39">
        <f>Rota!$M39</f>
      </c>
      <c r="F39">
        <f>IF(OR(Rota!$I39="",Rota!$M39=""),"",ROUND(Rota!$M39-Rota!$I39,2))</f>
      </c>
      <c r="G39">
        <f>Rota!$Q39</f>
      </c>
    </row>
    <row r="40">
      <c r="A40">
        <f>Rota!$C40</f>
      </c>
      <c r="B40">
        <f>Rota!$D40</f>
      </c>
      <c r="C40">
        <f>Rota!$E40</f>
      </c>
      <c r="D40">
        <f>Rota!$I40</f>
      </c>
      <c r="E40">
        <f>Rota!$M40</f>
      </c>
      <c r="F40">
        <f>IF(OR(Rota!$I40="",Rota!$M40=""),"",ROUND(Rota!$M40-Rota!$I40,2))</f>
      </c>
      <c r="G40">
        <f>Rota!$Q40</f>
      </c>
    </row>
    <row r="41">
      <c r="A41">
        <f>Rota!$C41</f>
      </c>
      <c r="B41">
        <f>Rota!$D41</f>
      </c>
      <c r="C41">
        <f>Rota!$E41</f>
      </c>
      <c r="D41">
        <f>Rota!$I41</f>
      </c>
      <c r="E41">
        <f>Rota!$M41</f>
      </c>
      <c r="F41">
        <f>IF(OR(Rota!$I41="",Rota!$M41=""),"",ROUND(Rota!$M41-Rota!$I41,2))</f>
      </c>
      <c r="G41">
        <f>Rota!$Q41</f>
      </c>
    </row>
    <row r="42">
      <c r="A42">
        <f>Rota!$C42</f>
      </c>
      <c r="B42">
        <f>Rota!$D42</f>
      </c>
      <c r="C42">
        <f>Rota!$E42</f>
      </c>
      <c r="D42">
        <f>Rota!$I42</f>
      </c>
      <c r="E42">
        <f>Rota!$M42</f>
      </c>
      <c r="F42">
        <f>IF(OR(Rota!$I42="",Rota!$M42=""),"",ROUND(Rota!$M42-Rota!$I42,2))</f>
      </c>
      <c r="G42">
        <f>Rota!$Q42</f>
      </c>
    </row>
    <row r="43">
      <c r="A43">
        <f>Rota!$C43</f>
      </c>
      <c r="B43">
        <f>Rota!$D43</f>
      </c>
      <c r="C43">
        <f>Rota!$E43</f>
      </c>
      <c r="D43">
        <f>Rota!$I43</f>
      </c>
      <c r="E43">
        <f>Rota!$M43</f>
      </c>
      <c r="F43">
        <f>IF(OR(Rota!$I43="",Rota!$M43=""),"",ROUND(Rota!$M43-Rota!$I43,2))</f>
      </c>
      <c r="G43">
        <f>Rota!$Q43</f>
      </c>
    </row>
    <row r="44">
      <c r="A44">
        <f>Rota!$C44</f>
      </c>
      <c r="B44">
        <f>Rota!$D44</f>
      </c>
      <c r="C44">
        <f>Rota!$E44</f>
      </c>
      <c r="D44">
        <f>Rota!$I44</f>
      </c>
      <c r="E44">
        <f>Rota!$M44</f>
      </c>
      <c r="F44">
        <f>IF(OR(Rota!$I44="",Rota!$M44=""),"",ROUND(Rota!$M44-Rota!$I44,2))</f>
      </c>
      <c r="G44">
        <f>Rota!$Q44</f>
      </c>
    </row>
    <row r="45">
      <c r="A45">
        <f>Rota!$C45</f>
      </c>
      <c r="B45">
        <f>Rota!$D45</f>
      </c>
      <c r="C45">
        <f>Rota!$E45</f>
      </c>
      <c r="D45">
        <f>Rota!$I45</f>
      </c>
      <c r="E45">
        <f>Rota!$M45</f>
      </c>
      <c r="F45">
        <f>IF(OR(Rota!$I45="",Rota!$M45=""),"",ROUND(Rota!$M45-Rota!$I45,2))</f>
      </c>
      <c r="G45">
        <f>Rota!$Q45</f>
      </c>
    </row>
    <row r="46">
      <c r="A46">
        <f>Rota!$C46</f>
      </c>
      <c r="B46">
        <f>Rota!$D46</f>
      </c>
      <c r="C46">
        <f>Rota!$E46</f>
      </c>
      <c r="D46">
        <f>Rota!$I46</f>
      </c>
      <c r="E46">
        <f>Rota!$M46</f>
      </c>
      <c r="F46">
        <f>IF(OR(Rota!$I46="",Rota!$M46=""),"",ROUND(Rota!$M46-Rota!$I46,2))</f>
      </c>
      <c r="G46">
        <f>Rota!$Q46</f>
      </c>
    </row>
    <row r="47">
      <c r="A47">
        <f>Rota!$C47</f>
      </c>
      <c r="B47">
        <f>Rota!$D47</f>
      </c>
      <c r="C47">
        <f>Rota!$E47</f>
      </c>
      <c r="D47">
        <f>Rota!$I47</f>
      </c>
      <c r="E47">
        <f>Rota!$M47</f>
      </c>
      <c r="F47">
        <f>IF(OR(Rota!$I47="",Rota!$M47=""),"",ROUND(Rota!$M47-Rota!$I47,2))</f>
      </c>
      <c r="G47">
        <f>Rota!$Q47</f>
      </c>
    </row>
    <row r="48">
      <c r="A48">
        <f>Rota!$C48</f>
      </c>
      <c r="B48">
        <f>Rota!$D48</f>
      </c>
      <c r="C48">
        <f>Rota!$E48</f>
      </c>
      <c r="D48">
        <f>Rota!$I48</f>
      </c>
      <c r="E48">
        <f>Rota!$M48</f>
      </c>
      <c r="F48">
        <f>IF(OR(Rota!$I48="",Rota!$M48=""),"",ROUND(Rota!$M48-Rota!$I48,2))</f>
      </c>
      <c r="G48">
        <f>Rota!$Q48</f>
      </c>
    </row>
    <row r="49">
      <c r="A49">
        <f>Rota!$C49</f>
      </c>
      <c r="B49">
        <f>Rota!$D49</f>
      </c>
      <c r="C49">
        <f>Rota!$E49</f>
      </c>
      <c r="D49">
        <f>Rota!$I49</f>
      </c>
      <c r="E49">
        <f>Rota!$M49</f>
      </c>
      <c r="F49">
        <f>IF(OR(Rota!$I49="",Rota!$M49=""),"",ROUND(Rota!$M49-Rota!$I49,2))</f>
      </c>
      <c r="G49">
        <f>Rota!$Q49</f>
      </c>
    </row>
    <row r="50">
      <c r="A50">
        <f>Rota!$C50</f>
      </c>
      <c r="B50">
        <f>Rota!$D50</f>
      </c>
      <c r="C50">
        <f>Rota!$E50</f>
      </c>
      <c r="D50">
        <f>Rota!$I50</f>
      </c>
      <c r="E50">
        <f>Rota!$M50</f>
      </c>
      <c r="F50">
        <f>IF(OR(Rota!$I50="",Rota!$M50=""),"",ROUND(Rota!$M50-Rota!$I50,2))</f>
      </c>
      <c r="G50">
        <f>Rota!$Q50</f>
      </c>
    </row>
  </sheetData>
  <ignoredErrors>
    <ignoredError numberStoredAsText="1" sqref="A1: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12.83203125" customWidth="1"/>
    <col min="5" max="5" width="11.83203125" customWidth="1"/>
  </cols>
  <sheetData>
    <row r="1">
      <c r="A1" t="str">
        <v>Employee ID</v>
      </c>
      <c r="B1" t="str">
        <v>Employee</v>
      </c>
      <c r="C1" t="str">
        <v>Week Starting</v>
      </c>
      <c r="D1" t="str">
        <v>Paid Hours</v>
      </c>
      <c r="E1" t="str">
        <v>Overtime</v>
      </c>
    </row>
    <row r="2">
      <c r="A2" t="str">
        <v>PB-001</v>
      </c>
      <c r="B2" t="str">
        <v>Tulsi Jagtap Surendra</v>
      </c>
      <c r="C2" t="str">
        <v>2026-08-31</v>
      </c>
      <c r="D2">
        <f>ROUND(SUMIFS(Rota!$Q:$Q,Rota!$B:$B,$A2,Rota!$P:$P,$C2),2)</f>
      </c>
      <c r="E2">
        <f>ROUND(MAX(0,$D2-Settings!$B$2),2)</f>
      </c>
    </row>
    <row r="3">
      <c r="A3" t="str">
        <v>PB-001</v>
      </c>
      <c r="B3" t="str">
        <v>Tulsi Jagtap Surendra</v>
      </c>
      <c r="C3" t="str">
        <v>2026-09-07</v>
      </c>
      <c r="D3">
        <f>ROUND(SUMIFS(Rota!$Q:$Q,Rota!$B:$B,$A3,Rota!$P:$P,$C3),2)</f>
      </c>
      <c r="E3">
        <f>ROUND(MAX(0,$D3-Settings!$B$2),2)</f>
      </c>
    </row>
    <row r="4">
      <c r="A4" t="str">
        <v>PB-001</v>
      </c>
      <c r="B4" t="str">
        <v>Tulsi Jagtap Surendra</v>
      </c>
      <c r="C4" t="str">
        <v>2026-09-14</v>
      </c>
      <c r="D4">
        <f>ROUND(SUMIFS(Rota!$Q:$Q,Rota!$B:$B,$A4,Rota!$P:$P,$C4),2)</f>
      </c>
      <c r="E4">
        <f>ROUND(MAX(0,$D4-Settings!$B$2),2)</f>
      </c>
    </row>
    <row r="5">
      <c r="A5" t="str">
        <v>PB-002</v>
      </c>
      <c r="B5" t="str">
        <v>Liam Phillip Flude</v>
      </c>
      <c r="C5" t="str">
        <v>2026-08-31</v>
      </c>
      <c r="D5">
        <f>ROUND(SUMIFS(Rota!$Q:$Q,Rota!$B:$B,$A5,Rota!$P:$P,$C5),2)</f>
      </c>
      <c r="E5">
        <f>ROUND(MAX(0,$D5-Settings!$B$2),2)</f>
      </c>
    </row>
    <row r="6">
      <c r="A6" t="str">
        <v>PB-002</v>
      </c>
      <c r="B6" t="str">
        <v>Liam Phillip Flude</v>
      </c>
      <c r="C6" t="str">
        <v>2026-09-07</v>
      </c>
      <c r="D6">
        <f>ROUND(SUMIFS(Rota!$Q:$Q,Rota!$B:$B,$A6,Rota!$P:$P,$C6),2)</f>
      </c>
      <c r="E6">
        <f>ROUND(MAX(0,$D6-Settings!$B$2),2)</f>
      </c>
    </row>
    <row r="7">
      <c r="A7" t="str">
        <v>PB-002</v>
      </c>
      <c r="B7" t="str">
        <v>Liam Phillip Flude</v>
      </c>
      <c r="C7" t="str">
        <v>2026-09-14</v>
      </c>
      <c r="D7">
        <f>ROUND(SUMIFS(Rota!$Q:$Q,Rota!$B:$B,$A7,Rota!$P:$P,$C7),2)</f>
      </c>
      <c r="E7">
        <f>ROUND(MAX(0,$D7-Settings!$B$2),2)</f>
      </c>
    </row>
    <row r="8">
      <c r="A8" t="str">
        <v>PB-003</v>
      </c>
      <c r="B8" t="str">
        <v>Shiva Kumar Pulapati</v>
      </c>
      <c r="C8" t="str">
        <v>2026-08-31</v>
      </c>
      <c r="D8">
        <f>ROUND(SUMIFS(Rota!$Q:$Q,Rota!$B:$B,$A8,Rota!$P:$P,$C8),2)</f>
      </c>
      <c r="E8">
        <f>ROUND(MAX(0,$D8-Settings!$B$2),2)</f>
      </c>
    </row>
    <row r="9">
      <c r="A9" t="str">
        <v>PB-003</v>
      </c>
      <c r="B9" t="str">
        <v>Shiva Kumar Pulapati</v>
      </c>
      <c r="C9" t="str">
        <v>2026-09-07</v>
      </c>
      <c r="D9">
        <f>ROUND(SUMIFS(Rota!$Q:$Q,Rota!$B:$B,$A9,Rota!$P:$P,$C9),2)</f>
      </c>
      <c r="E9">
        <f>ROUND(MAX(0,$D9-Settings!$B$2),2)</f>
      </c>
    </row>
    <row r="10">
      <c r="A10" t="str">
        <v>PB-003</v>
      </c>
      <c r="B10" t="str">
        <v>Shiva Kumar Pulapati</v>
      </c>
      <c r="C10" t="str">
        <v>2026-09-14</v>
      </c>
      <c r="D10">
        <f>ROUND(SUMIFS(Rota!$Q:$Q,Rota!$B:$B,$A10,Rota!$P:$P,$C10),2)</f>
      </c>
      <c r="E10">
        <f>ROUND(MAX(0,$D10-Settings!$B$2),2)</f>
      </c>
    </row>
    <row r="11">
      <c r="A11" t="str">
        <v>PB-004</v>
      </c>
      <c r="B11" t="str">
        <v>Callum john Kemp</v>
      </c>
      <c r="C11" t="str">
        <v>2026-08-31</v>
      </c>
      <c r="D11">
        <f>ROUND(SUMIFS(Rota!$Q:$Q,Rota!$B:$B,$A11,Rota!$P:$P,$C11),2)</f>
      </c>
      <c r="E11">
        <f>ROUND(MAX(0,$D11-Settings!$B$2),2)</f>
      </c>
    </row>
    <row r="12">
      <c r="A12" t="str">
        <v>PB-004</v>
      </c>
      <c r="B12" t="str">
        <v>Callum john Kemp</v>
      </c>
      <c r="C12" t="str">
        <v>2026-09-07</v>
      </c>
      <c r="D12">
        <f>ROUND(SUMIFS(Rota!$Q:$Q,Rota!$B:$B,$A12,Rota!$P:$P,$C12),2)</f>
      </c>
      <c r="E12">
        <f>ROUND(MAX(0,$D12-Settings!$B$2),2)</f>
      </c>
    </row>
    <row r="13">
      <c r="A13" t="str">
        <v>PB-004</v>
      </c>
      <c r="B13" t="str">
        <v>Callum john Kemp</v>
      </c>
      <c r="C13" t="str">
        <v>2026-09-14</v>
      </c>
      <c r="D13">
        <f>ROUND(SUMIFS(Rota!$Q:$Q,Rota!$B:$B,$A13,Rota!$P:$P,$C13),2)</f>
      </c>
      <c r="E13">
        <f>ROUND(MAX(0,$D13-Settings!$B$2),2)</f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3.83203125" customWidth="1"/>
    <col min="5" max="5" width="11.83203125" customWidth="1"/>
  </cols>
  <sheetData>
    <row r="1">
      <c r="A1" t="str">
        <v>THE PINT BAR — REPORTS</v>
      </c>
    </row>
    <row r="3">
      <c r="A3" t="str">
        <v>By contract type</v>
      </c>
    </row>
    <row r="4">
      <c r="A4" t="str">
        <v>Contract Type</v>
      </c>
      <c r="B4" t="str">
        <v>Staff</v>
      </c>
      <c r="C4" t="str">
        <v>Shifts</v>
      </c>
      <c r="D4" t="str">
        <v>Paid Hours</v>
      </c>
      <c r="E4" t="str">
        <v>Overtime</v>
      </c>
    </row>
    <row r="5">
      <c r="A5" t="str">
        <v>Full Time</v>
      </c>
      <c r="B5">
        <f>COUNTIF(Employees!$F:$F,$A5)</f>
      </c>
      <c r="C5">
        <f>COUNTIF(Rota!$N:$N,$A5)</f>
      </c>
      <c r="D5">
        <f>ROUND(SUMIF(Rota!$N:$N,$A5,Rota!$Q:$Q),2)</f>
      </c>
      <c r="E5">
        <f>ROUND(SUMPRODUCT((Weekly!$E$2:$E$2000)*(COUNTIF(OFFSET(Employees!$A$1,MATCH(Weekly!$A$2:$A$2000,Employees!$A$2:$A$2000,0),5),$A5)&gt;0)),2)</f>
      </c>
    </row>
    <row r="6">
      <c r="A6" t="str">
        <v>Part Time</v>
      </c>
      <c r="B6">
        <f>COUNTIF(Employees!$F:$F,$A6)</f>
      </c>
      <c r="C6">
        <f>COUNTIF(Rota!$N:$N,$A6)</f>
      </c>
      <c r="D6">
        <f>ROUND(SUMIF(Rota!$N:$N,$A6,Rota!$Q:$Q),2)</f>
      </c>
      <c r="E6">
        <f>ROUND(SUMPRODUCT((Weekly!$E$2:$E$2000)*(COUNTIF(OFFSET(Employees!$A$1,MATCH(Weekly!$A$2:$A$2000,Employees!$A$2:$A$2000,0),5),$A6)&gt;0)),2)</f>
      </c>
    </row>
    <row r="7">
      <c r="A7" t="str">
        <v>Zero Hour Contract</v>
      </c>
      <c r="B7">
        <f>COUNTIF(Employees!$F:$F,$A7)</f>
      </c>
      <c r="C7">
        <f>COUNTIF(Rota!$N:$N,$A7)</f>
      </c>
      <c r="D7">
        <f>ROUND(SUMIF(Rota!$N:$N,$A7,Rota!$Q:$Q),2)</f>
      </c>
      <c r="E7">
        <f>ROUND(SUMPRODUCT((Weekly!$E$2:$E$2000)*(COUNTIF(OFFSET(Employees!$A$1,MATCH(Weekly!$A$2:$A$2000,Employees!$A$2:$A$2000,0),5),$A7)&gt;0)),2)</f>
      </c>
    </row>
    <row r="9">
      <c r="A9" t="str">
        <v>By job role</v>
      </c>
    </row>
    <row r="10">
      <c r="A10" t="str">
        <v>Job Role</v>
      </c>
      <c r="B10" t="str">
        <v>Shifts</v>
      </c>
      <c r="C10" t="str">
        <v>Paid Hours</v>
      </c>
    </row>
    <row r="11">
      <c r="A11" t="str">
        <v>Manager</v>
      </c>
      <c r="B11">
        <f>COUNTIF(Rota!$O:$O,$A12)</f>
      </c>
      <c r="C11">
        <f>ROUND(SUMIF(Rota!$O:$O,$A12,Rota!$Q:$Q),2)</f>
      </c>
    </row>
    <row r="12">
      <c r="A12" t="str">
        <v>Supervisor</v>
      </c>
      <c r="B12">
        <f>COUNTIF(Rota!$O:$O,$A13)</f>
      </c>
      <c r="C12">
        <f>ROUND(SUMIF(Rota!$O:$O,$A13,Rota!$Q:$Q),2)</f>
      </c>
    </row>
    <row r="13">
      <c r="A13" t="str">
        <v>Bartender</v>
      </c>
      <c r="B13">
        <f>COUNTIF(Rota!$O:$O,$A14)</f>
      </c>
      <c r="C13">
        <f>ROUND(SUMIF(Rota!$O:$O,$A14,Rota!$Q:$Q),2)</f>
      </c>
    </row>
    <row r="14">
      <c r="A14" t="str">
        <v>Waiter/Waitress</v>
      </c>
      <c r="B14">
        <f>COUNTIF(Rota!$O:$O,$A15)</f>
      </c>
      <c r="C14">
        <f>ROUND(SUMIF(Rota!$O:$O,$A15,Rota!$Q:$Q),2)</f>
      </c>
    </row>
    <row r="15">
      <c r="A15" t="str">
        <v>Kitchen</v>
      </c>
      <c r="B15">
        <f>COUNTIF(Rota!$O:$O,$A16)</f>
      </c>
      <c r="C15">
        <f>ROUND(SUMIF(Rota!$O:$O,$A16,Rota!$Q:$Q),2)</f>
      </c>
    </row>
    <row r="16">
      <c r="A16" t="str">
        <v>Chef</v>
      </c>
      <c r="B16">
        <f>COUNTIF(Rota!$O:$O,$A17)</f>
      </c>
      <c r="C16">
        <f>ROUND(SUMIF(Rota!$O:$O,$A17,Rota!$Q:$Q),2)</f>
      </c>
    </row>
    <row r="17">
      <c r="A17" t="str">
        <v>Kitchen Porter</v>
      </c>
      <c r="B17">
        <f>COUNTIF(Rota!$O:$O,$A18)</f>
      </c>
      <c r="C17">
        <f>ROUND(SUMIF(Rota!$O:$O,$A18,Rota!$Q:$Q),2)</f>
      </c>
    </row>
    <row r="18">
      <c r="A18" t="str">
        <v>Other</v>
      </c>
      <c r="B18">
        <f>COUNTIF(Rota!$O:$O,$A19)</f>
      </c>
      <c r="C18">
        <f>ROUND(SUMIF(Rota!$O:$O,$A19,Rota!$Q:$Q),2)</f>
      </c>
    </row>
  </sheetData>
  <ignoredErrors>
    <ignoredError numberStoredAsText="1" sqref="A1:E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6.83203125" customWidth="1"/>
    <col min="2" max="2" width="12.83203125" customWidth="1"/>
  </cols>
  <sheetData>
    <row r="1">
      <c r="A1" t="str">
        <v>Setting</v>
      </c>
      <c r="B1" t="str">
        <v>Value</v>
      </c>
    </row>
    <row r="2">
      <c r="A2" t="str">
        <v>Standard Weekly Hours</v>
      </c>
      <c r="B2">
        <v>40</v>
      </c>
    </row>
    <row r="3">
      <c r="A3" t="str">
        <v>Long Shift Alert (hours)</v>
      </c>
      <c r="B3">
        <v>10</v>
      </c>
    </row>
    <row r="5">
      <c r="A5" t="str">
        <v>Contract Types</v>
      </c>
    </row>
    <row r="6">
      <c r="A6" t="str">
        <v>Full Time</v>
      </c>
    </row>
    <row r="7">
      <c r="A7" t="str">
        <v>Part Time</v>
      </c>
    </row>
    <row r="8">
      <c r="A8" t="str">
        <v>Zero Hour Contract</v>
      </c>
    </row>
    <row r="10">
      <c r="A10" t="str">
        <v>Job Roles</v>
      </c>
    </row>
    <row r="11">
      <c r="A11" t="str">
        <v>Manager</v>
      </c>
    </row>
    <row r="12">
      <c r="A12" t="str">
        <v>Supervisor</v>
      </c>
    </row>
    <row r="13">
      <c r="A13" t="str">
        <v>Bartender</v>
      </c>
    </row>
    <row r="14">
      <c r="A14" t="str">
        <v>Waiter/Waitress</v>
      </c>
    </row>
    <row r="15">
      <c r="A15" t="str">
        <v>Kitchen</v>
      </c>
    </row>
    <row r="16">
      <c r="A16" t="str">
        <v>Chef</v>
      </c>
    </row>
    <row r="17">
      <c r="A17" t="str">
        <v>Kitchen Porter</v>
      </c>
    </row>
    <row r="18">
      <c r="A18" t="str">
        <v>Other</v>
      </c>
    </row>
    <row r="20">
      <c r="A20" t="str">
        <v>Employment Status</v>
      </c>
    </row>
    <row r="21">
      <c r="A21" t="str">
        <v>Active</v>
      </c>
    </row>
    <row r="22">
      <c r="A22" t="str">
        <v>On Leave</v>
      </c>
    </row>
    <row r="23">
      <c r="A23" t="str">
        <v>Left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Employees</vt:lpstr>
      <vt:lpstr>Rota</vt:lpstr>
      <vt:lpstr>Timesheet</vt:lpstr>
      <vt:lpstr>Weekly</vt:lpstr>
      <vt:lpstr>Reports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